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revolut_project\"/>
    </mc:Choice>
  </mc:AlternateContent>
  <xr:revisionPtr revIDLastSave="0" documentId="13_ncr:1_{CACD6B61-B4FC-44C2-ACDA-7FCF70CDA41B}" xr6:coauthVersionLast="47" xr6:coauthVersionMax="47" xr10:uidLastSave="{00000000-0000-0000-0000-000000000000}"/>
  <bookViews>
    <workbookView xWindow="-108" yWindow="-108" windowWidth="23256" windowHeight="12456" activeTab="3" xr2:uid="{AB72FF56-EF46-4382-8D8B-7BA5BA92EA5C}"/>
  </bookViews>
  <sheets>
    <sheet name="Inputs" sheetId="1" r:id="rId1"/>
    <sheet name="Drivers" sheetId="2" r:id="rId2"/>
    <sheet name="Forecast" sheetId="3" r:id="rId3"/>
    <sheet name="Scenari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W15" i="3" s="1"/>
  <c r="W16" i="3" s="1"/>
  <c r="X14" i="3"/>
  <c r="X15" i="3" s="1"/>
  <c r="X16" i="3" s="1"/>
  <c r="Y14" i="3"/>
  <c r="Z14" i="3"/>
  <c r="AA14" i="3"/>
  <c r="AB14" i="3"/>
  <c r="AC14" i="3"/>
  <c r="AD14" i="3"/>
  <c r="AE14" i="3"/>
  <c r="AF14" i="3"/>
  <c r="AG14" i="3"/>
  <c r="AH14" i="3"/>
  <c r="AI14" i="3"/>
  <c r="AI15" i="3" s="1"/>
  <c r="AI16" i="3" s="1"/>
  <c r="AJ14" i="3"/>
  <c r="AK14" i="3"/>
  <c r="B15" i="3"/>
  <c r="C15" i="3"/>
  <c r="D15" i="3"/>
  <c r="E15" i="3"/>
  <c r="F15" i="3"/>
  <c r="G15" i="3"/>
  <c r="H15" i="3"/>
  <c r="I15" i="3"/>
  <c r="J15" i="3"/>
  <c r="K15" i="3"/>
  <c r="L15" i="3"/>
  <c r="M15" i="3"/>
  <c r="M16" i="3" s="1"/>
  <c r="N15" i="3"/>
  <c r="O15" i="3"/>
  <c r="P15" i="3"/>
  <c r="Q15" i="3"/>
  <c r="R15" i="3"/>
  <c r="S15" i="3"/>
  <c r="T15" i="3"/>
  <c r="U15" i="3"/>
  <c r="V15" i="3"/>
  <c r="Y15" i="3"/>
  <c r="Y16" i="3" s="1"/>
  <c r="Z15" i="3"/>
  <c r="AA15" i="3"/>
  <c r="AB15" i="3"/>
  <c r="AC15" i="3"/>
  <c r="AD15" i="3"/>
  <c r="AE15" i="3"/>
  <c r="AF15" i="3"/>
  <c r="AG15" i="3"/>
  <c r="AH15" i="3"/>
  <c r="AJ15" i="3"/>
  <c r="AK15" i="3"/>
  <c r="AK16" i="3" s="1"/>
  <c r="B16" i="3"/>
  <c r="C16" i="3"/>
  <c r="D16" i="3"/>
  <c r="E16" i="3"/>
  <c r="F16" i="3"/>
  <c r="G16" i="3"/>
  <c r="H16" i="3"/>
  <c r="I16" i="3"/>
  <c r="J16" i="3"/>
  <c r="K16" i="3"/>
  <c r="L16" i="3"/>
  <c r="N16" i="3"/>
  <c r="O16" i="3"/>
  <c r="P16" i="3"/>
  <c r="Q16" i="3"/>
  <c r="R16" i="3"/>
  <c r="S16" i="3"/>
  <c r="T16" i="3"/>
  <c r="U16" i="3"/>
  <c r="V16" i="3"/>
  <c r="Z16" i="3"/>
  <c r="AA16" i="3"/>
  <c r="AB16" i="3"/>
  <c r="AC16" i="3"/>
  <c r="AD16" i="3"/>
  <c r="AE16" i="3"/>
  <c r="AF16" i="3"/>
  <c r="AG16" i="3"/>
  <c r="AH16" i="3"/>
  <c r="AJ16" i="3"/>
  <c r="B10" i="3"/>
  <c r="B14" i="2"/>
  <c r="B13" i="2"/>
  <c r="B12" i="2"/>
  <c r="B11" i="2"/>
  <c r="B10" i="2"/>
  <c r="B6" i="2"/>
  <c r="B6" i="3" s="1"/>
  <c r="B5" i="2"/>
  <c r="B5" i="3" s="1"/>
  <c r="B4" i="2"/>
  <c r="B3" i="2"/>
  <c r="J8" i="1"/>
  <c r="C5" i="3" l="1"/>
  <c r="D5" i="3" s="1"/>
  <c r="E5" i="3" s="1"/>
  <c r="F5" i="3" s="1"/>
  <c r="G5" i="3" s="1"/>
  <c r="B9" i="3"/>
  <c r="B11" i="3" s="1"/>
  <c r="C10" i="3"/>
  <c r="D10" i="3" s="1"/>
  <c r="E10" i="3" s="1"/>
  <c r="F10" i="3" s="1"/>
  <c r="G10" i="3" s="1"/>
  <c r="H10" i="3" s="1"/>
  <c r="I10" i="3" s="1"/>
  <c r="J10" i="3" s="1"/>
  <c r="K10" i="3" s="1"/>
  <c r="L10" i="3" s="1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W10" i="3" s="1"/>
  <c r="X10" i="3" s="1"/>
  <c r="Y10" i="3" s="1"/>
  <c r="Z10" i="3" s="1"/>
  <c r="AA10" i="3" s="1"/>
  <c r="AB10" i="3" s="1"/>
  <c r="AC10" i="3" s="1"/>
  <c r="AD10" i="3" s="1"/>
  <c r="AE10" i="3" s="1"/>
  <c r="AF10" i="3" s="1"/>
  <c r="AG10" i="3" s="1"/>
  <c r="AH10" i="3" s="1"/>
  <c r="AI10" i="3" s="1"/>
  <c r="AJ10" i="3" s="1"/>
  <c r="AK10" i="3" s="1"/>
  <c r="B7" i="3"/>
  <c r="C6" i="3"/>
  <c r="D6" i="3" s="1"/>
  <c r="C9" i="3" l="1"/>
  <c r="D9" i="3" s="1"/>
  <c r="D7" i="3"/>
  <c r="C7" i="3"/>
  <c r="E6" i="3"/>
  <c r="F6" i="3" s="1"/>
  <c r="H5" i="3"/>
  <c r="B13" i="3"/>
  <c r="C11" i="3" l="1"/>
  <c r="C13" i="3" s="1"/>
  <c r="E7" i="3"/>
  <c r="D11" i="3"/>
  <c r="D13" i="3" s="1"/>
  <c r="E9" i="3"/>
  <c r="I5" i="3"/>
  <c r="G6" i="3"/>
  <c r="F7" i="3"/>
  <c r="F9" i="3" l="1"/>
  <c r="E11" i="3"/>
  <c r="J5" i="3"/>
  <c r="H6" i="3"/>
  <c r="G7" i="3"/>
  <c r="E13" i="3" l="1"/>
  <c r="F11" i="3"/>
  <c r="F13" i="3" s="1"/>
  <c r="G9" i="3"/>
  <c r="I6" i="3"/>
  <c r="H7" i="3"/>
  <c r="K5" i="3"/>
  <c r="H9" i="3" l="1"/>
  <c r="G11" i="3"/>
  <c r="L5" i="3"/>
  <c r="J6" i="3"/>
  <c r="I7" i="3"/>
  <c r="G13" i="3" l="1"/>
  <c r="H11" i="3"/>
  <c r="H13" i="3" s="1"/>
  <c r="I9" i="3"/>
  <c r="M5" i="3"/>
  <c r="K6" i="3"/>
  <c r="J7" i="3"/>
  <c r="I11" i="3" l="1"/>
  <c r="I13" i="3" s="1"/>
  <c r="J9" i="3"/>
  <c r="L6" i="3"/>
  <c r="K7" i="3"/>
  <c r="N5" i="3"/>
  <c r="K9" i="3" l="1"/>
  <c r="J11" i="3"/>
  <c r="J13" i="3" s="1"/>
  <c r="O5" i="3"/>
  <c r="M6" i="3"/>
  <c r="L7" i="3"/>
  <c r="L9" i="3" l="1"/>
  <c r="K11" i="3"/>
  <c r="K13" i="3" s="1"/>
  <c r="N6" i="3"/>
  <c r="M7" i="3"/>
  <c r="P5" i="3"/>
  <c r="M9" i="3" l="1"/>
  <c r="L11" i="3"/>
  <c r="L13" i="3" s="1"/>
  <c r="Q5" i="3"/>
  <c r="O6" i="3"/>
  <c r="N7" i="3"/>
  <c r="N9" i="3" l="1"/>
  <c r="M11" i="3"/>
  <c r="M13" i="3" s="1"/>
  <c r="P6" i="3"/>
  <c r="O7" i="3"/>
  <c r="R5" i="3"/>
  <c r="N11" i="3" l="1"/>
  <c r="N13" i="3" s="1"/>
  <c r="O9" i="3"/>
  <c r="S5" i="3"/>
  <c r="Q6" i="3"/>
  <c r="P7" i="3"/>
  <c r="O11" i="3" l="1"/>
  <c r="O13" i="3" s="1"/>
  <c r="P9" i="3"/>
  <c r="R6" i="3"/>
  <c r="Q7" i="3"/>
  <c r="T5" i="3"/>
  <c r="P11" i="3" l="1"/>
  <c r="P13" i="3" s="1"/>
  <c r="Q9" i="3"/>
  <c r="U5" i="3"/>
  <c r="S6" i="3"/>
  <c r="R7" i="3"/>
  <c r="Q11" i="3" l="1"/>
  <c r="Q13" i="3" s="1"/>
  <c r="R9" i="3"/>
  <c r="T6" i="3"/>
  <c r="S7" i="3"/>
  <c r="V5" i="3"/>
  <c r="R11" i="3" l="1"/>
  <c r="R13" i="3" s="1"/>
  <c r="S9" i="3"/>
  <c r="W5" i="3"/>
  <c r="U6" i="3"/>
  <c r="T7" i="3"/>
  <c r="S11" i="3" l="1"/>
  <c r="S13" i="3" s="1"/>
  <c r="T9" i="3"/>
  <c r="V6" i="3"/>
  <c r="U7" i="3"/>
  <c r="X5" i="3"/>
  <c r="T11" i="3" l="1"/>
  <c r="T13" i="3" s="1"/>
  <c r="U9" i="3"/>
  <c r="Y5" i="3"/>
  <c r="W6" i="3"/>
  <c r="V7" i="3"/>
  <c r="V9" i="3" l="1"/>
  <c r="U11" i="3"/>
  <c r="U13" i="3" s="1"/>
  <c r="X6" i="3"/>
  <c r="W7" i="3"/>
  <c r="Z5" i="3"/>
  <c r="W9" i="3" l="1"/>
  <c r="V11" i="3"/>
  <c r="V13" i="3" s="1"/>
  <c r="AA5" i="3"/>
  <c r="Y6" i="3"/>
  <c r="X7" i="3"/>
  <c r="W11" i="3" l="1"/>
  <c r="W13" i="3" s="1"/>
  <c r="X9" i="3"/>
  <c r="Z6" i="3"/>
  <c r="Y7" i="3"/>
  <c r="AB5" i="3"/>
  <c r="Y9" i="3" l="1"/>
  <c r="X11" i="3"/>
  <c r="X13" i="3" s="1"/>
  <c r="AC5" i="3"/>
  <c r="AA6" i="3"/>
  <c r="Z7" i="3"/>
  <c r="Z9" i="3" l="1"/>
  <c r="Y11" i="3"/>
  <c r="Y13" i="3" s="1"/>
  <c r="AB6" i="3"/>
  <c r="AA7" i="3"/>
  <c r="AD5" i="3"/>
  <c r="Z11" i="3" l="1"/>
  <c r="Z13" i="3" s="1"/>
  <c r="AA9" i="3"/>
  <c r="AE5" i="3"/>
  <c r="AC6" i="3"/>
  <c r="AB7" i="3"/>
  <c r="AA11" i="3" l="1"/>
  <c r="AA13" i="3" s="1"/>
  <c r="AB9" i="3"/>
  <c r="AF5" i="3"/>
  <c r="AD6" i="3"/>
  <c r="AC7" i="3"/>
  <c r="AC9" i="3" l="1"/>
  <c r="AB11" i="3"/>
  <c r="AB13" i="3" s="1"/>
  <c r="AE6" i="3"/>
  <c r="AD7" i="3"/>
  <c r="AG5" i="3"/>
  <c r="AD9" i="3" l="1"/>
  <c r="AC11" i="3"/>
  <c r="AC13" i="3" s="1"/>
  <c r="AH5" i="3"/>
  <c r="AF6" i="3"/>
  <c r="AE7" i="3"/>
  <c r="AD11" i="3" l="1"/>
  <c r="AD13" i="3" s="1"/>
  <c r="AE9" i="3"/>
  <c r="AG6" i="3"/>
  <c r="AF7" i="3"/>
  <c r="AI5" i="3"/>
  <c r="AE11" i="3" l="1"/>
  <c r="AE13" i="3" s="1"/>
  <c r="AF9" i="3"/>
  <c r="AJ5" i="3"/>
  <c r="AH6" i="3"/>
  <c r="AG7" i="3"/>
  <c r="AF11" i="3" l="1"/>
  <c r="AF13" i="3" s="1"/>
  <c r="AG9" i="3"/>
  <c r="AI6" i="3"/>
  <c r="AH7" i="3"/>
  <c r="AK5" i="3"/>
  <c r="AH9" i="3" l="1"/>
  <c r="AG11" i="3"/>
  <c r="AG13" i="3" s="1"/>
  <c r="AJ6" i="3"/>
  <c r="AI7" i="3"/>
  <c r="AH11" i="3" l="1"/>
  <c r="AH13" i="3" s="1"/>
  <c r="AI9" i="3"/>
  <c r="AK6" i="3"/>
  <c r="AK7" i="3" s="1"/>
  <c r="AJ7" i="3"/>
  <c r="AJ9" i="3" l="1"/>
  <c r="AI11" i="3"/>
  <c r="AI13" i="3" s="1"/>
  <c r="AK9" i="3" l="1"/>
  <c r="AJ11" i="3"/>
  <c r="AJ13" i="3" s="1"/>
  <c r="AK11" i="3" l="1"/>
  <c r="AK13" i="3" s="1"/>
</calcChain>
</file>

<file path=xl/sharedStrings.xml><?xml version="1.0" encoding="utf-8"?>
<sst xmlns="http://schemas.openxmlformats.org/spreadsheetml/2006/main" count="510" uniqueCount="103">
  <si>
    <t>ARPU MONTHLY</t>
  </si>
  <si>
    <t>month</t>
  </si>
  <si>
    <t>total_revenue</t>
  </si>
  <si>
    <t>active_users</t>
  </si>
  <si>
    <t>arpu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</si>
  <si>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</si>
  <si>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</si>
  <si>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</si>
  <si>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</si>
  <si>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</si>
  <si>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</si>
  <si>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</si>
  <si>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</si>
  <si>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</si>
  <si>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</si>
  <si>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</si>
  <si>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</si>
  <si>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</si>
  <si>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</si>
  <si>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</si>
  <si>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</si>
  <si>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</si>
  <si>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</si>
  <si>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</si>
  <si>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</si>
  <si>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</si>
  <si>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</si>
  <si>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</si>
  <si>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</si>
  <si>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</si>
  <si>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</si>
  <si>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</si>
  <si>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</si>
  <si>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</si>
  <si>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</si>
  <si>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</si>
  <si>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</si>
  <si>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</si>
  <si>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</si>
  <si>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</si>
  <si>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</si>
  <si>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LTV CAC BY CHANNEL</t>
  </si>
  <si>
    <t>channel</t>
  </si>
  <si>
    <t>users_acquired</t>
  </si>
  <si>
    <t>avg_ltv</t>
  </si>
  <si>
    <t>total_spend</t>
  </si>
  <si>
    <t>cac</t>
  </si>
  <si>
    <t>ltv_to_cac_ratio</t>
  </si>
  <si>
    <t>Organic</t>
  </si>
  <si>
    <t>Referral</t>
  </si>
  <si>
    <t>Paid Social</t>
  </si>
  <si>
    <t>Paid Search</t>
  </si>
  <si>
    <t>Influencer</t>
  </si>
  <si>
    <t>LTV BY CHANNEL</t>
  </si>
  <si>
    <t>users</t>
  </si>
  <si>
    <t>COHORT RETENTION</t>
  </si>
  <si>
    <t>cohort_month</t>
  </si>
  <si>
    <t>months_since_signup</t>
  </si>
  <si>
    <t>cohort_users</t>
  </si>
  <si>
    <t>retention_pct</t>
  </si>
  <si>
    <t>ASSUMPTIONS</t>
  </si>
  <si>
    <t>Monthly signup growth %</t>
  </si>
  <si>
    <t>Monthly churn %</t>
  </si>
  <si>
    <t>Monthly ARPU growth %</t>
  </si>
  <si>
    <t>Annual CAC inflation %</t>
  </si>
  <si>
    <t>Base</t>
  </si>
  <si>
    <t>Bull</t>
  </si>
  <si>
    <t>Bear</t>
  </si>
  <si>
    <t>STARTING VALUES</t>
  </si>
  <si>
    <t>Starting MAU</t>
  </si>
  <si>
    <t>Starting ARPU</t>
  </si>
  <si>
    <t>Starting monthly signups</t>
  </si>
  <si>
    <t>Starting blended CAC</t>
  </si>
  <si>
    <t>DRIVERS</t>
  </si>
  <si>
    <t>Active scenario</t>
  </si>
  <si>
    <t>Selected monthly signup growth %</t>
  </si>
  <si>
    <t>Selected monthly churn %</t>
  </si>
  <si>
    <t>Selected monthly ARPU growth %</t>
  </si>
  <si>
    <t>Selected annual CAC inflation %</t>
  </si>
  <si>
    <t>Selected operating cost %</t>
  </si>
  <si>
    <t>FORECAST (£)</t>
  </si>
  <si>
    <t>New signups</t>
  </si>
  <si>
    <t>CAC per signup (£)</t>
  </si>
  <si>
    <t>Marketing spend (£)</t>
  </si>
  <si>
    <t>MAU</t>
  </si>
  <si>
    <t>ARPU (£)</t>
  </si>
  <si>
    <t>Revenue (£)</t>
  </si>
  <si>
    <t>Operating costs (£)</t>
  </si>
  <si>
    <t>Total costs (£)</t>
  </si>
  <si>
    <t>EBITDA (£)</t>
  </si>
  <si>
    <t>EBITDA margin</t>
  </si>
  <si>
    <t>Operating cost %</t>
  </si>
  <si>
    <t>Scenario Summary</t>
  </si>
  <si>
    <t>Metric</t>
  </si>
  <si>
    <t>Cumulative 3-yr revenue (£)</t>
  </si>
  <si>
    <t>Final month revenue (£)</t>
  </si>
  <si>
    <t>Cumulative 3-yr EBITDA (£)</t>
  </si>
  <si>
    <t>Final month EBITDA (£)</t>
  </si>
  <si>
    <t>Final month MAU</t>
  </si>
  <si>
    <t>Final EBITDA margin</t>
  </si>
  <si>
    <t>Months to positive EBITDA</t>
  </si>
  <si>
    <t>Never</t>
  </si>
  <si>
    <t>Avg.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</si>
</sst>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 Unicode MS"/>
    </font>
    <font>
      <sz val="8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sz val="10"/>
      <color theme="7" tint="-0.249977111117893"/>
      <name val="Arial"/>
      <family val="2"/>
    </font>
    <font>
      <sz val="11"/>
      <color rgb="FFFF9900"/>
      <name val="Aptos Narrow"/>
      <family val="2"/>
      <scheme val="minor"/>
    </font>
    <font>
      <sz val="10"/>
      <color rgb="FF00B050"/>
      <name val="Arial Unicode MS"/>
    </font>
    <font>
      <sz val="11"/>
      <color rgb="FF00B050"/>
      <name val="Aptos Narrow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9" fillId="0" borderId="2" xfId="0" applyFont="1" applyBorder="1" applyAlignment="1">
      <alignment horizontal="center"/>
    </xf>
    <xf numFmtId="0" fontId="0" fillId="0" borderId="1" xfId="0" applyBorder="1"/>
    <xf numFmtId="9" fontId="4" fillId="0" borderId="1" xfId="0" applyNumberFormat="1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6" fontId="0" fillId="0" borderId="1" xfId="0" applyNumberFormat="1" applyBorder="1"/>
    <xf numFmtId="17" fontId="0" fillId="0" borderId="1" xfId="0" applyNumberForma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BC6A3-5CCD-4D07-A5DA-F3A06D4BE038}">
  <dimension ref="A1:Q437"/>
  <sheetViews>
    <sheetView topLeftCell="A35" workbookViewId="0">
      <selection activeCell="F48" sqref="F48:J437"/>
    </sheetView>
  </sheetViews>
  <sheetFormatPr defaultRowHeight="14.4"/>
  <cols>
    <col min="1" max="1" width="14.21875" customWidth="1"/>
    <col min="2" max="2" width="12.88671875" customWidth="1"/>
    <col min="3" max="3" width="12.21875" customWidth="1"/>
    <col min="4" max="4" width="11.33203125" customWidth="1"/>
    <col min="6" max="6" width="18.44140625" customWidth="1"/>
    <col min="7" max="7" width="18.5546875" customWidth="1"/>
    <col min="8" max="8" width="11.21875" customWidth="1"/>
    <col min="9" max="9" width="11.5546875" customWidth="1"/>
    <col min="10" max="10" width="11.33203125" customWidth="1"/>
    <col min="11" max="11" width="13.44140625" customWidth="1"/>
    <col min="13" max="13" width="20.33203125" customWidth="1"/>
    <col min="14" max="14" width="12.5546875" customWidth="1"/>
    <col min="15" max="15" width="10.77734375" customWidth="1"/>
  </cols>
  <sheetData>
    <row r="1" spans="1:17" ht="15.6">
      <c r="B1" s="9" t="s">
        <v>0</v>
      </c>
      <c r="C1" s="9"/>
      <c r="D1" s="4"/>
      <c r="E1" s="4"/>
      <c r="F1" s="12" t="s">
        <v>41</v>
      </c>
      <c r="G1" s="12"/>
      <c r="H1" s="12"/>
      <c r="I1" s="12"/>
      <c r="J1" s="12"/>
      <c r="K1" s="12"/>
      <c r="M1" s="12" t="s">
        <v>60</v>
      </c>
      <c r="N1" s="12"/>
      <c r="O1" s="12"/>
      <c r="P1" s="12"/>
      <c r="Q1" s="12"/>
    </row>
    <row r="2" spans="1:17">
      <c r="A2" s="10" t="s">
        <v>1</v>
      </c>
      <c r="B2" s="10" t="s">
        <v>2</v>
      </c>
      <c r="C2" s="10" t="s">
        <v>3</v>
      </c>
      <c r="D2" s="10" t="s">
        <v>4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O2" s="4" t="s">
        <v>65</v>
      </c>
      <c r="P2" s="4" t="s">
        <v>66</v>
      </c>
      <c r="Q2" s="4" t="s">
        <v>67</v>
      </c>
    </row>
    <row r="3" spans="1:17">
      <c r="A3" s="10" t="s">
        <v>5</v>
      </c>
      <c r="B3" s="10">
        <v>1813.26</v>
      </c>
      <c r="C3" s="10">
        <v>752</v>
      </c>
      <c r="D3" s="10">
        <v>2.41</v>
      </c>
      <c r="F3" s="3" t="s">
        <v>48</v>
      </c>
      <c r="G3" s="10">
        <v>7534</v>
      </c>
      <c r="H3" s="10">
        <v>44.79</v>
      </c>
      <c r="I3" s="10">
        <v>202410</v>
      </c>
      <c r="J3" s="10">
        <v>7</v>
      </c>
      <c r="K3" s="10">
        <v>1.72</v>
      </c>
      <c r="M3" t="s">
        <v>61</v>
      </c>
      <c r="N3" s="13"/>
      <c r="O3" s="14">
        <v>0.04</v>
      </c>
      <c r="P3" s="14">
        <v>0.06</v>
      </c>
      <c r="Q3" s="14">
        <v>0.02</v>
      </c>
    </row>
    <row r="4" spans="1:17">
      <c r="A4" s="10" t="s">
        <v>6</v>
      </c>
      <c r="B4" s="10">
        <v>4453.8</v>
      </c>
      <c r="C4" s="10">
        <v>1472</v>
      </c>
      <c r="D4" s="10">
        <v>3.03</v>
      </c>
      <c r="F4" s="3" t="s">
        <v>49</v>
      </c>
      <c r="G4" s="10">
        <v>4488</v>
      </c>
      <c r="H4" s="10">
        <v>44.56</v>
      </c>
      <c r="I4" s="10">
        <v>412770</v>
      </c>
      <c r="J4" s="10">
        <v>16</v>
      </c>
      <c r="K4" s="10">
        <v>0.49</v>
      </c>
      <c r="M4" t="s">
        <v>62</v>
      </c>
      <c r="N4" s="13"/>
      <c r="O4" s="14">
        <v>0.03</v>
      </c>
      <c r="P4" s="14">
        <v>0.02</v>
      </c>
      <c r="Q4" s="14">
        <v>0.06</v>
      </c>
    </row>
    <row r="5" spans="1:17">
      <c r="A5" s="10" t="s">
        <v>7</v>
      </c>
      <c r="B5" s="10">
        <v>7876.8</v>
      </c>
      <c r="C5" s="10">
        <v>2215</v>
      </c>
      <c r="D5" s="10">
        <v>3.56</v>
      </c>
      <c r="F5" s="3" t="s">
        <v>50</v>
      </c>
      <c r="G5" s="10">
        <v>8957</v>
      </c>
      <c r="H5" s="10">
        <v>44.67</v>
      </c>
      <c r="I5" s="10">
        <v>1048900</v>
      </c>
      <c r="J5" s="10">
        <v>27</v>
      </c>
      <c r="K5" s="10">
        <v>0.38</v>
      </c>
      <c r="M5" t="s">
        <v>63</v>
      </c>
      <c r="N5" s="13"/>
      <c r="O5" s="14">
        <v>0.02</v>
      </c>
      <c r="P5" s="14">
        <v>0.03</v>
      </c>
      <c r="Q5" s="15">
        <v>5.0000000000000001E-3</v>
      </c>
    </row>
    <row r="6" spans="1:17">
      <c r="A6" s="10" t="s">
        <v>8</v>
      </c>
      <c r="B6" s="10">
        <v>10263.719999999999</v>
      </c>
      <c r="C6" s="10">
        <v>2925</v>
      </c>
      <c r="D6" s="10">
        <v>3.51</v>
      </c>
      <c r="F6" s="3" t="s">
        <v>51</v>
      </c>
      <c r="G6" s="10">
        <v>6042</v>
      </c>
      <c r="H6" s="10">
        <v>45.19</v>
      </c>
      <c r="I6" s="10">
        <v>1471295</v>
      </c>
      <c r="J6" s="10">
        <v>45</v>
      </c>
      <c r="K6" s="10">
        <v>0.19</v>
      </c>
      <c r="M6" t="s">
        <v>64</v>
      </c>
      <c r="N6" s="13"/>
      <c r="O6" s="14">
        <v>0.08</v>
      </c>
      <c r="P6" s="14">
        <v>0.04</v>
      </c>
      <c r="Q6" s="14">
        <v>0.15</v>
      </c>
    </row>
    <row r="7" spans="1:17">
      <c r="A7" s="10" t="s">
        <v>9</v>
      </c>
      <c r="B7" s="10">
        <v>13550.26</v>
      </c>
      <c r="C7" s="10">
        <v>3590</v>
      </c>
      <c r="D7" s="10">
        <v>3.77</v>
      </c>
      <c r="F7" s="3" t="s">
        <v>52</v>
      </c>
      <c r="G7" s="10">
        <v>2979</v>
      </c>
      <c r="H7" s="10">
        <v>45.01</v>
      </c>
      <c r="I7" s="10">
        <v>1642600</v>
      </c>
      <c r="J7" s="10">
        <v>70</v>
      </c>
      <c r="K7" s="10">
        <v>0.08</v>
      </c>
      <c r="M7" t="s">
        <v>91</v>
      </c>
      <c r="N7" s="13"/>
      <c r="O7" s="14">
        <v>0.6</v>
      </c>
      <c r="P7" s="14">
        <v>0.5</v>
      </c>
      <c r="Q7" s="14">
        <v>0.7</v>
      </c>
    </row>
    <row r="8" spans="1:17">
      <c r="A8" s="10" t="s">
        <v>10</v>
      </c>
      <c r="B8" s="10">
        <v>15145.44</v>
      </c>
      <c r="C8" s="10">
        <v>4238</v>
      </c>
      <c r="D8" s="10">
        <v>3.57</v>
      </c>
      <c r="F8" s="2"/>
      <c r="G8" s="2"/>
      <c r="H8" s="2"/>
      <c r="I8" s="2" t="s">
        <v>102</v>
      </c>
      <c r="J8" s="11">
        <f>SUM(J3:J7)/5</f>
        <v>33</v>
      </c>
      <c r="K8" s="2"/>
    </row>
    <row r="9" spans="1:17">
      <c r="A9" s="10" t="s">
        <v>11</v>
      </c>
      <c r="B9" s="10">
        <v>18543.95</v>
      </c>
      <c r="C9" s="10">
        <v>4936</v>
      </c>
      <c r="D9" s="10">
        <v>3.76</v>
      </c>
    </row>
    <row r="10" spans="1:17" ht="15.6">
      <c r="A10" s="10" t="s">
        <v>12</v>
      </c>
      <c r="B10" s="10">
        <v>21084.51</v>
      </c>
      <c r="C10" s="10">
        <v>5548</v>
      </c>
      <c r="D10" s="10">
        <v>3.8</v>
      </c>
      <c r="N10" s="12" t="s">
        <v>68</v>
      </c>
      <c r="O10" s="12"/>
    </row>
    <row r="11" spans="1:17">
      <c r="A11" s="10" t="s">
        <v>13</v>
      </c>
      <c r="B11" s="10">
        <v>22674.1</v>
      </c>
      <c r="C11" s="10">
        <v>6068</v>
      </c>
      <c r="D11" s="10">
        <v>3.74</v>
      </c>
      <c r="N11" s="13" t="s">
        <v>69</v>
      </c>
      <c r="O11" s="16">
        <v>14141</v>
      </c>
    </row>
    <row r="12" spans="1:17">
      <c r="A12" s="10" t="s">
        <v>14</v>
      </c>
      <c r="B12" s="10">
        <v>25698.18</v>
      </c>
      <c r="C12" s="10">
        <v>6698</v>
      </c>
      <c r="D12" s="10">
        <v>3.84</v>
      </c>
      <c r="N12" s="13" t="s">
        <v>70</v>
      </c>
      <c r="O12" s="16">
        <v>3.96</v>
      </c>
    </row>
    <row r="13" spans="1:17">
      <c r="A13" s="10" t="s">
        <v>15</v>
      </c>
      <c r="B13" s="10">
        <v>26641.39</v>
      </c>
      <c r="C13" s="10">
        <v>7187</v>
      </c>
      <c r="D13" s="10">
        <v>3.71</v>
      </c>
      <c r="N13" s="13" t="s">
        <v>71</v>
      </c>
      <c r="O13" s="17">
        <v>900</v>
      </c>
    </row>
    <row r="14" spans="1:17">
      <c r="A14" s="10" t="s">
        <v>16</v>
      </c>
      <c r="B14" s="10">
        <v>30059.64</v>
      </c>
      <c r="C14" s="10">
        <v>7643</v>
      </c>
      <c r="D14" s="10">
        <v>3.93</v>
      </c>
      <c r="N14" s="13" t="s">
        <v>72</v>
      </c>
      <c r="O14" s="17">
        <v>33</v>
      </c>
    </row>
    <row r="15" spans="1:17">
      <c r="A15" s="10" t="s">
        <v>17</v>
      </c>
      <c r="B15" s="10">
        <v>31351.43</v>
      </c>
      <c r="C15" s="10">
        <v>8100</v>
      </c>
      <c r="D15" s="10">
        <v>3.87</v>
      </c>
    </row>
    <row r="16" spans="1:17">
      <c r="A16" s="10" t="s">
        <v>18</v>
      </c>
      <c r="B16" s="10">
        <v>30955.75</v>
      </c>
      <c r="C16" s="10">
        <v>8485</v>
      </c>
      <c r="D16" s="10">
        <v>3.65</v>
      </c>
    </row>
    <row r="17" spans="1:4">
      <c r="A17" s="10" t="s">
        <v>19</v>
      </c>
      <c r="B17" s="10">
        <v>34617.769999999997</v>
      </c>
      <c r="C17" s="10">
        <v>8870</v>
      </c>
      <c r="D17" s="10">
        <v>3.9</v>
      </c>
    </row>
    <row r="18" spans="1:4">
      <c r="A18" s="10" t="s">
        <v>20</v>
      </c>
      <c r="B18" s="10">
        <v>34751.370000000003</v>
      </c>
      <c r="C18" s="10">
        <v>9214</v>
      </c>
      <c r="D18" s="10">
        <v>3.77</v>
      </c>
    </row>
    <row r="19" spans="1:4">
      <c r="A19" s="10" t="s">
        <v>21</v>
      </c>
      <c r="B19" s="10">
        <v>37742.620000000003</v>
      </c>
      <c r="C19" s="10">
        <v>9587</v>
      </c>
      <c r="D19" s="10">
        <v>3.94</v>
      </c>
    </row>
    <row r="20" spans="1:4">
      <c r="A20" s="10" t="s">
        <v>22</v>
      </c>
      <c r="B20" s="10">
        <v>38171.129999999997</v>
      </c>
      <c r="C20" s="10">
        <v>9907</v>
      </c>
      <c r="D20" s="10">
        <v>3.85</v>
      </c>
    </row>
    <row r="21" spans="1:4">
      <c r="A21" s="10" t="s">
        <v>23</v>
      </c>
      <c r="B21" s="10">
        <v>40344.339999999997</v>
      </c>
      <c r="C21" s="10">
        <v>10302</v>
      </c>
      <c r="D21" s="10">
        <v>3.92</v>
      </c>
    </row>
    <row r="22" spans="1:4">
      <c r="A22" s="10" t="s">
        <v>24</v>
      </c>
      <c r="B22" s="10">
        <v>41554.629999999997</v>
      </c>
      <c r="C22" s="10">
        <v>10614</v>
      </c>
      <c r="D22" s="10">
        <v>3.92</v>
      </c>
    </row>
    <row r="23" spans="1:4">
      <c r="A23" s="10" t="s">
        <v>25</v>
      </c>
      <c r="B23" s="10">
        <v>41859.599999999999</v>
      </c>
      <c r="C23" s="10">
        <v>10937</v>
      </c>
      <c r="D23" s="10">
        <v>3.83</v>
      </c>
    </row>
    <row r="24" spans="1:4">
      <c r="A24" s="10" t="s">
        <v>26</v>
      </c>
      <c r="B24" s="10">
        <v>44375.06</v>
      </c>
      <c r="C24" s="10">
        <v>11269</v>
      </c>
      <c r="D24" s="10">
        <v>3.94</v>
      </c>
    </row>
    <row r="25" spans="1:4">
      <c r="A25" s="10" t="s">
        <v>27</v>
      </c>
      <c r="B25" s="10">
        <v>43474.2</v>
      </c>
      <c r="C25" s="10">
        <v>11502</v>
      </c>
      <c r="D25" s="10">
        <v>3.78</v>
      </c>
    </row>
    <row r="26" spans="1:4">
      <c r="A26" s="10" t="s">
        <v>28</v>
      </c>
      <c r="B26" s="10">
        <v>45972.76</v>
      </c>
      <c r="C26" s="10">
        <v>11722</v>
      </c>
      <c r="D26" s="10">
        <v>3.92</v>
      </c>
    </row>
    <row r="27" spans="1:4">
      <c r="A27" s="10" t="s">
        <v>29</v>
      </c>
      <c r="B27" s="10">
        <v>46744.79</v>
      </c>
      <c r="C27" s="10">
        <v>11947</v>
      </c>
      <c r="D27" s="10">
        <v>3.91</v>
      </c>
    </row>
    <row r="28" spans="1:4">
      <c r="A28" s="10" t="s">
        <v>30</v>
      </c>
      <c r="B28" s="10">
        <v>43576.99</v>
      </c>
      <c r="C28" s="10">
        <v>12142</v>
      </c>
      <c r="D28" s="10">
        <v>3.59</v>
      </c>
    </row>
    <row r="29" spans="1:4">
      <c r="A29" s="10" t="s">
        <v>31</v>
      </c>
      <c r="B29" s="10">
        <v>48872.94</v>
      </c>
      <c r="C29" s="10">
        <v>12479</v>
      </c>
      <c r="D29" s="10">
        <v>3.92</v>
      </c>
    </row>
    <row r="30" spans="1:4">
      <c r="A30" s="10" t="s">
        <v>32</v>
      </c>
      <c r="B30" s="10">
        <v>48608.43</v>
      </c>
      <c r="C30" s="10">
        <v>12728</v>
      </c>
      <c r="D30" s="10">
        <v>3.82</v>
      </c>
    </row>
    <row r="31" spans="1:4">
      <c r="A31" s="10" t="s">
        <v>33</v>
      </c>
      <c r="B31" s="10">
        <v>51205.48</v>
      </c>
      <c r="C31" s="10">
        <v>12963</v>
      </c>
      <c r="D31" s="10">
        <v>3.95</v>
      </c>
    </row>
    <row r="32" spans="1:4">
      <c r="A32" s="10" t="s">
        <v>34</v>
      </c>
      <c r="B32" s="10">
        <v>50265.03</v>
      </c>
      <c r="C32" s="10">
        <v>13181</v>
      </c>
      <c r="D32" s="10">
        <v>3.81</v>
      </c>
    </row>
    <row r="33" spans="1:10">
      <c r="A33" s="10" t="s">
        <v>35</v>
      </c>
      <c r="B33" s="10">
        <v>52535.839999999997</v>
      </c>
      <c r="C33" s="10">
        <v>13405</v>
      </c>
      <c r="D33" s="10">
        <v>3.92</v>
      </c>
    </row>
    <row r="34" spans="1:10">
      <c r="A34" s="10" t="s">
        <v>36</v>
      </c>
      <c r="B34" s="10">
        <v>53692.83</v>
      </c>
      <c r="C34" s="10">
        <v>13598</v>
      </c>
      <c r="D34" s="10">
        <v>3.95</v>
      </c>
    </row>
    <row r="35" spans="1:10">
      <c r="A35" s="10" t="s">
        <v>37</v>
      </c>
      <c r="B35" s="10">
        <v>52441.74</v>
      </c>
      <c r="C35" s="10">
        <v>13770</v>
      </c>
      <c r="D35" s="10">
        <v>3.81</v>
      </c>
    </row>
    <row r="36" spans="1:10">
      <c r="A36" s="10" t="s">
        <v>38</v>
      </c>
      <c r="B36" s="10">
        <v>54724.18</v>
      </c>
      <c r="C36" s="10">
        <v>13936</v>
      </c>
      <c r="D36" s="10">
        <v>3.93</v>
      </c>
    </row>
    <row r="37" spans="1:10">
      <c r="A37" s="10" t="s">
        <v>39</v>
      </c>
      <c r="B37" s="10">
        <v>53852.639999999999</v>
      </c>
      <c r="C37" s="10">
        <v>14006</v>
      </c>
      <c r="D37" s="10">
        <v>3.84</v>
      </c>
    </row>
    <row r="38" spans="1:10">
      <c r="A38" s="10" t="s">
        <v>40</v>
      </c>
      <c r="B38" s="10">
        <v>55962.75</v>
      </c>
      <c r="C38" s="10">
        <v>14141</v>
      </c>
      <c r="D38" s="10">
        <v>3.96</v>
      </c>
    </row>
    <row r="42" spans="1:10">
      <c r="C42" s="1"/>
    </row>
    <row r="45" spans="1:10" ht="15.6">
      <c r="A45" s="12" t="s">
        <v>53</v>
      </c>
      <c r="B45" s="12"/>
      <c r="C45" s="12"/>
      <c r="D45" s="12"/>
      <c r="F45" s="12" t="s">
        <v>55</v>
      </c>
      <c r="G45" s="12"/>
      <c r="H45" s="12"/>
      <c r="I45" s="12"/>
      <c r="J45" s="12"/>
    </row>
    <row r="46" spans="1:10">
      <c r="A46" s="3" t="s">
        <v>42</v>
      </c>
      <c r="B46" s="3" t="s">
        <v>54</v>
      </c>
      <c r="C46" s="3" t="s">
        <v>44</v>
      </c>
      <c r="D46" s="3" t="s">
        <v>2</v>
      </c>
      <c r="E46" s="1"/>
    </row>
    <row r="47" spans="1:10">
      <c r="A47" s="3" t="s">
        <v>51</v>
      </c>
      <c r="B47" s="10">
        <v>6042</v>
      </c>
      <c r="C47" s="10">
        <v>42.8</v>
      </c>
      <c r="D47" s="10">
        <v>258573.47</v>
      </c>
      <c r="E47" s="1"/>
      <c r="F47" s="2" t="s">
        <v>56</v>
      </c>
      <c r="G47" s="2" t="s">
        <v>57</v>
      </c>
      <c r="H47" s="2" t="s">
        <v>3</v>
      </c>
      <c r="I47" s="2" t="s">
        <v>58</v>
      </c>
      <c r="J47" s="2" t="s">
        <v>59</v>
      </c>
    </row>
    <row r="48" spans="1:10">
      <c r="A48" s="3" t="s">
        <v>52</v>
      </c>
      <c r="B48" s="10">
        <v>2979</v>
      </c>
      <c r="C48" s="10">
        <v>42.61</v>
      </c>
      <c r="D48" s="10">
        <v>126935.75</v>
      </c>
      <c r="E48" s="1"/>
      <c r="F48" s="2" t="s">
        <v>5</v>
      </c>
      <c r="G48" s="2">
        <v>0</v>
      </c>
      <c r="H48" s="2">
        <v>752</v>
      </c>
      <c r="I48" s="2">
        <v>873</v>
      </c>
      <c r="J48" s="2">
        <v>86.1</v>
      </c>
    </row>
    <row r="49" spans="1:10">
      <c r="A49" s="3" t="s">
        <v>48</v>
      </c>
      <c r="B49" s="10">
        <v>7534</v>
      </c>
      <c r="C49" s="10">
        <v>42.46</v>
      </c>
      <c r="D49" s="10">
        <v>319883.44</v>
      </c>
      <c r="E49" s="1"/>
      <c r="F49" s="2" t="s">
        <v>5</v>
      </c>
      <c r="G49" s="2">
        <v>1</v>
      </c>
      <c r="H49" s="2">
        <v>822</v>
      </c>
      <c r="I49" s="2">
        <v>873</v>
      </c>
      <c r="J49" s="2">
        <v>94.2</v>
      </c>
    </row>
    <row r="50" spans="1:10">
      <c r="A50" s="3" t="s">
        <v>49</v>
      </c>
      <c r="B50" s="10">
        <v>4488</v>
      </c>
      <c r="C50" s="10">
        <v>42.43</v>
      </c>
      <c r="D50" s="10">
        <v>190420.1</v>
      </c>
      <c r="E50" s="1"/>
      <c r="F50" s="2" t="s">
        <v>5</v>
      </c>
      <c r="G50" s="2">
        <v>2</v>
      </c>
      <c r="H50" s="2">
        <v>782</v>
      </c>
      <c r="I50" s="2">
        <v>873</v>
      </c>
      <c r="J50" s="2">
        <v>89.6</v>
      </c>
    </row>
    <row r="51" spans="1:10">
      <c r="A51" s="3" t="s">
        <v>50</v>
      </c>
      <c r="B51" s="10">
        <v>8957</v>
      </c>
      <c r="C51" s="10">
        <v>42.39</v>
      </c>
      <c r="D51" s="10">
        <v>379646.59</v>
      </c>
      <c r="E51" s="1"/>
      <c r="F51" s="2" t="s">
        <v>5</v>
      </c>
      <c r="G51" s="2">
        <v>3</v>
      </c>
      <c r="H51" s="2">
        <v>744</v>
      </c>
      <c r="I51" s="2">
        <v>873</v>
      </c>
      <c r="J51" s="2">
        <v>85.2</v>
      </c>
    </row>
    <row r="52" spans="1:10">
      <c r="F52" s="2" t="s">
        <v>5</v>
      </c>
      <c r="G52" s="2">
        <v>4</v>
      </c>
      <c r="H52" s="2">
        <v>714</v>
      </c>
      <c r="I52" s="2">
        <v>873</v>
      </c>
      <c r="J52" s="2">
        <v>81.8</v>
      </c>
    </row>
    <row r="53" spans="1:10">
      <c r="F53" s="2" t="s">
        <v>5</v>
      </c>
      <c r="G53" s="2">
        <v>5</v>
      </c>
      <c r="H53" s="2">
        <v>682</v>
      </c>
      <c r="I53" s="2">
        <v>873</v>
      </c>
      <c r="J53" s="2">
        <v>78.099999999999994</v>
      </c>
    </row>
    <row r="54" spans="1:10">
      <c r="F54" s="2" t="s">
        <v>5</v>
      </c>
      <c r="G54" s="2">
        <v>6</v>
      </c>
      <c r="H54" s="2">
        <v>642</v>
      </c>
      <c r="I54" s="2">
        <v>873</v>
      </c>
      <c r="J54" s="2">
        <v>73.5</v>
      </c>
    </row>
    <row r="55" spans="1:10">
      <c r="F55" s="2" t="s">
        <v>5</v>
      </c>
      <c r="G55" s="2">
        <v>7</v>
      </c>
      <c r="H55" s="2">
        <v>614</v>
      </c>
      <c r="I55" s="2">
        <v>873</v>
      </c>
      <c r="J55" s="2">
        <v>70.3</v>
      </c>
    </row>
    <row r="56" spans="1:10">
      <c r="F56" s="2" t="s">
        <v>5</v>
      </c>
      <c r="G56" s="2">
        <v>8</v>
      </c>
      <c r="H56" s="2">
        <v>582</v>
      </c>
      <c r="I56" s="2">
        <v>873</v>
      </c>
      <c r="J56" s="2">
        <v>66.7</v>
      </c>
    </row>
    <row r="57" spans="1:10">
      <c r="F57" s="2" t="s">
        <v>5</v>
      </c>
      <c r="G57" s="2">
        <v>9</v>
      </c>
      <c r="H57" s="2">
        <v>557</v>
      </c>
      <c r="I57" s="2">
        <v>873</v>
      </c>
      <c r="J57" s="2">
        <v>63.8</v>
      </c>
    </row>
    <row r="58" spans="1:10">
      <c r="F58" s="2" t="s">
        <v>5</v>
      </c>
      <c r="G58" s="2">
        <v>10</v>
      </c>
      <c r="H58" s="2">
        <v>523</v>
      </c>
      <c r="I58" s="2">
        <v>873</v>
      </c>
      <c r="J58" s="2">
        <v>59.9</v>
      </c>
    </row>
    <row r="59" spans="1:10">
      <c r="F59" s="2" t="s">
        <v>5</v>
      </c>
      <c r="G59" s="2">
        <v>11</v>
      </c>
      <c r="H59" s="2">
        <v>498</v>
      </c>
      <c r="I59" s="2">
        <v>873</v>
      </c>
      <c r="J59" s="2">
        <v>57</v>
      </c>
    </row>
    <row r="60" spans="1:10">
      <c r="F60" s="2" t="s">
        <v>5</v>
      </c>
      <c r="G60" s="2">
        <v>12</v>
      </c>
      <c r="H60" s="2">
        <v>465</v>
      </c>
      <c r="I60" s="2">
        <v>873</v>
      </c>
      <c r="J60" s="2">
        <v>53.3</v>
      </c>
    </row>
    <row r="61" spans="1:10">
      <c r="F61" s="2" t="s">
        <v>6</v>
      </c>
      <c r="G61" s="2">
        <v>0</v>
      </c>
      <c r="H61" s="2">
        <v>650</v>
      </c>
      <c r="I61" s="2">
        <v>757</v>
      </c>
      <c r="J61" s="2">
        <v>85.9</v>
      </c>
    </row>
    <row r="62" spans="1:10">
      <c r="F62" s="2" t="s">
        <v>6</v>
      </c>
      <c r="G62" s="2">
        <v>1</v>
      </c>
      <c r="H62" s="2">
        <v>722</v>
      </c>
      <c r="I62" s="2">
        <v>757</v>
      </c>
      <c r="J62" s="2">
        <v>95.4</v>
      </c>
    </row>
    <row r="63" spans="1:10">
      <c r="F63" s="2" t="s">
        <v>6</v>
      </c>
      <c r="G63" s="2">
        <v>2</v>
      </c>
      <c r="H63" s="2">
        <v>689</v>
      </c>
      <c r="I63" s="2">
        <v>757</v>
      </c>
      <c r="J63" s="2">
        <v>91</v>
      </c>
    </row>
    <row r="64" spans="1:10">
      <c r="F64" s="2" t="s">
        <v>6</v>
      </c>
      <c r="G64" s="2">
        <v>3</v>
      </c>
      <c r="H64" s="2">
        <v>651</v>
      </c>
      <c r="I64" s="2">
        <v>757</v>
      </c>
      <c r="J64" s="2">
        <v>86</v>
      </c>
    </row>
    <row r="65" spans="6:10">
      <c r="F65" s="2" t="s">
        <v>6</v>
      </c>
      <c r="G65" s="2">
        <v>4</v>
      </c>
      <c r="H65" s="2">
        <v>621</v>
      </c>
      <c r="I65" s="2">
        <v>757</v>
      </c>
      <c r="J65" s="2">
        <v>82</v>
      </c>
    </row>
    <row r="66" spans="6:10">
      <c r="F66" s="2" t="s">
        <v>6</v>
      </c>
      <c r="G66" s="2">
        <v>5</v>
      </c>
      <c r="H66" s="2">
        <v>587</v>
      </c>
      <c r="I66" s="2">
        <v>757</v>
      </c>
      <c r="J66" s="2">
        <v>77.5</v>
      </c>
    </row>
    <row r="67" spans="6:10">
      <c r="F67" s="2" t="s">
        <v>6</v>
      </c>
      <c r="G67" s="2">
        <v>6</v>
      </c>
      <c r="H67" s="2">
        <v>561</v>
      </c>
      <c r="I67" s="2">
        <v>757</v>
      </c>
      <c r="J67" s="2">
        <v>74.099999999999994</v>
      </c>
    </row>
    <row r="68" spans="6:10">
      <c r="F68" s="2" t="s">
        <v>6</v>
      </c>
      <c r="G68" s="2">
        <v>7</v>
      </c>
      <c r="H68" s="2">
        <v>533</v>
      </c>
      <c r="I68" s="2">
        <v>757</v>
      </c>
      <c r="J68" s="2">
        <v>70.400000000000006</v>
      </c>
    </row>
    <row r="69" spans="6:10">
      <c r="F69" s="2" t="s">
        <v>6</v>
      </c>
      <c r="G69" s="2">
        <v>8</v>
      </c>
      <c r="H69" s="2">
        <v>510</v>
      </c>
      <c r="I69" s="2">
        <v>757</v>
      </c>
      <c r="J69" s="2">
        <v>67.400000000000006</v>
      </c>
    </row>
    <row r="70" spans="6:10">
      <c r="F70" s="2" t="s">
        <v>6</v>
      </c>
      <c r="G70" s="2">
        <v>9</v>
      </c>
      <c r="H70" s="2">
        <v>492</v>
      </c>
      <c r="I70" s="2">
        <v>757</v>
      </c>
      <c r="J70" s="2">
        <v>65</v>
      </c>
    </row>
    <row r="71" spans="6:10">
      <c r="F71" s="2" t="s">
        <v>6</v>
      </c>
      <c r="G71" s="2">
        <v>10</v>
      </c>
      <c r="H71" s="2">
        <v>470</v>
      </c>
      <c r="I71" s="2">
        <v>757</v>
      </c>
      <c r="J71" s="2">
        <v>62.1</v>
      </c>
    </row>
    <row r="72" spans="6:10">
      <c r="F72" s="2" t="s">
        <v>6</v>
      </c>
      <c r="G72" s="2">
        <v>11</v>
      </c>
      <c r="H72" s="2">
        <v>449</v>
      </c>
      <c r="I72" s="2">
        <v>757</v>
      </c>
      <c r="J72" s="2">
        <v>59.3</v>
      </c>
    </row>
    <row r="73" spans="6:10">
      <c r="F73" s="2" t="s">
        <v>6</v>
      </c>
      <c r="G73" s="2">
        <v>12</v>
      </c>
      <c r="H73" s="2">
        <v>428</v>
      </c>
      <c r="I73" s="2">
        <v>757</v>
      </c>
      <c r="J73" s="2">
        <v>56.5</v>
      </c>
    </row>
    <row r="74" spans="6:10">
      <c r="F74" s="2" t="s">
        <v>7</v>
      </c>
      <c r="G74" s="2">
        <v>0</v>
      </c>
      <c r="H74" s="2">
        <v>711</v>
      </c>
      <c r="I74" s="2">
        <v>843</v>
      </c>
      <c r="J74" s="2">
        <v>84.3</v>
      </c>
    </row>
    <row r="75" spans="6:10">
      <c r="F75" s="2" t="s">
        <v>7</v>
      </c>
      <c r="G75" s="2">
        <v>1</v>
      </c>
      <c r="H75" s="2">
        <v>789</v>
      </c>
      <c r="I75" s="2">
        <v>843</v>
      </c>
      <c r="J75" s="2">
        <v>93.6</v>
      </c>
    </row>
    <row r="76" spans="6:10">
      <c r="F76" s="2" t="s">
        <v>7</v>
      </c>
      <c r="G76" s="2">
        <v>2</v>
      </c>
      <c r="H76" s="2">
        <v>745</v>
      </c>
      <c r="I76" s="2">
        <v>843</v>
      </c>
      <c r="J76" s="2">
        <v>88.4</v>
      </c>
    </row>
    <row r="77" spans="6:10">
      <c r="F77" s="2" t="s">
        <v>7</v>
      </c>
      <c r="G77" s="2">
        <v>3</v>
      </c>
      <c r="H77" s="2">
        <v>703</v>
      </c>
      <c r="I77" s="2">
        <v>843</v>
      </c>
      <c r="J77" s="2">
        <v>83.4</v>
      </c>
    </row>
    <row r="78" spans="6:10">
      <c r="F78" s="2" t="s">
        <v>7</v>
      </c>
      <c r="G78" s="2">
        <v>4</v>
      </c>
      <c r="H78" s="2">
        <v>679</v>
      </c>
      <c r="I78" s="2">
        <v>843</v>
      </c>
      <c r="J78" s="2">
        <v>80.5</v>
      </c>
    </row>
    <row r="79" spans="6:10">
      <c r="F79" s="2" t="s">
        <v>7</v>
      </c>
      <c r="G79" s="2">
        <v>5</v>
      </c>
      <c r="H79" s="2">
        <v>649</v>
      </c>
      <c r="I79" s="2">
        <v>843</v>
      </c>
      <c r="J79" s="2">
        <v>77</v>
      </c>
    </row>
    <row r="80" spans="6:10">
      <c r="F80" s="2" t="s">
        <v>7</v>
      </c>
      <c r="G80" s="2">
        <v>6</v>
      </c>
      <c r="H80" s="2">
        <v>622</v>
      </c>
      <c r="I80" s="2">
        <v>843</v>
      </c>
      <c r="J80" s="2">
        <v>73.8</v>
      </c>
    </row>
    <row r="81" spans="6:10">
      <c r="F81" s="2" t="s">
        <v>7</v>
      </c>
      <c r="G81" s="2">
        <v>7</v>
      </c>
      <c r="H81" s="2">
        <v>600</v>
      </c>
      <c r="I81" s="2">
        <v>843</v>
      </c>
      <c r="J81" s="2">
        <v>71.2</v>
      </c>
    </row>
    <row r="82" spans="6:10">
      <c r="F82" s="2" t="s">
        <v>7</v>
      </c>
      <c r="G82" s="2">
        <v>8</v>
      </c>
      <c r="H82" s="2">
        <v>572</v>
      </c>
      <c r="I82" s="2">
        <v>843</v>
      </c>
      <c r="J82" s="2">
        <v>67.900000000000006</v>
      </c>
    </row>
    <row r="83" spans="6:10">
      <c r="F83" s="2" t="s">
        <v>7</v>
      </c>
      <c r="G83" s="2">
        <v>9</v>
      </c>
      <c r="H83" s="2">
        <v>537</v>
      </c>
      <c r="I83" s="2">
        <v>843</v>
      </c>
      <c r="J83" s="2">
        <v>63.7</v>
      </c>
    </row>
    <row r="84" spans="6:10">
      <c r="F84" s="2" t="s">
        <v>7</v>
      </c>
      <c r="G84" s="2">
        <v>10</v>
      </c>
      <c r="H84" s="2">
        <v>518</v>
      </c>
      <c r="I84" s="2">
        <v>843</v>
      </c>
      <c r="J84" s="2">
        <v>61.4</v>
      </c>
    </row>
    <row r="85" spans="6:10">
      <c r="F85" s="2" t="s">
        <v>7</v>
      </c>
      <c r="G85" s="2">
        <v>11</v>
      </c>
      <c r="H85" s="2">
        <v>497</v>
      </c>
      <c r="I85" s="2">
        <v>843</v>
      </c>
      <c r="J85" s="2">
        <v>59</v>
      </c>
    </row>
    <row r="86" spans="6:10">
      <c r="F86" s="2" t="s">
        <v>7</v>
      </c>
      <c r="G86" s="2">
        <v>12</v>
      </c>
      <c r="H86" s="2">
        <v>475</v>
      </c>
      <c r="I86" s="2">
        <v>843</v>
      </c>
      <c r="J86" s="2">
        <v>56.3</v>
      </c>
    </row>
    <row r="87" spans="6:10">
      <c r="F87" s="2" t="s">
        <v>8</v>
      </c>
      <c r="G87" s="2">
        <v>0</v>
      </c>
      <c r="H87" s="2">
        <v>703</v>
      </c>
      <c r="I87" s="2">
        <v>818</v>
      </c>
      <c r="J87" s="2">
        <v>85.9</v>
      </c>
    </row>
    <row r="88" spans="6:10">
      <c r="F88" s="2" t="s">
        <v>8</v>
      </c>
      <c r="G88" s="2">
        <v>1</v>
      </c>
      <c r="H88" s="2">
        <v>773</v>
      </c>
      <c r="I88" s="2">
        <v>818</v>
      </c>
      <c r="J88" s="2">
        <v>94.5</v>
      </c>
    </row>
    <row r="89" spans="6:10">
      <c r="F89" s="2" t="s">
        <v>8</v>
      </c>
      <c r="G89" s="2">
        <v>2</v>
      </c>
      <c r="H89" s="2">
        <v>740</v>
      </c>
      <c r="I89" s="2">
        <v>818</v>
      </c>
      <c r="J89" s="2">
        <v>90.5</v>
      </c>
    </row>
    <row r="90" spans="6:10">
      <c r="F90" s="2" t="s">
        <v>8</v>
      </c>
      <c r="G90" s="2">
        <v>3</v>
      </c>
      <c r="H90" s="2">
        <v>710</v>
      </c>
      <c r="I90" s="2">
        <v>818</v>
      </c>
      <c r="J90" s="2">
        <v>86.8</v>
      </c>
    </row>
    <row r="91" spans="6:10">
      <c r="F91" s="2" t="s">
        <v>8</v>
      </c>
      <c r="G91" s="2">
        <v>4</v>
      </c>
      <c r="H91" s="2">
        <v>673</v>
      </c>
      <c r="I91" s="2">
        <v>818</v>
      </c>
      <c r="J91" s="2">
        <v>82.3</v>
      </c>
    </row>
    <row r="92" spans="6:10">
      <c r="F92" s="2" t="s">
        <v>8</v>
      </c>
      <c r="G92" s="2">
        <v>5</v>
      </c>
      <c r="H92" s="2">
        <v>643</v>
      </c>
      <c r="I92" s="2">
        <v>818</v>
      </c>
      <c r="J92" s="2">
        <v>78.599999999999994</v>
      </c>
    </row>
    <row r="93" spans="6:10">
      <c r="F93" s="2" t="s">
        <v>8</v>
      </c>
      <c r="G93" s="2">
        <v>6</v>
      </c>
      <c r="H93" s="2">
        <v>613</v>
      </c>
      <c r="I93" s="2">
        <v>818</v>
      </c>
      <c r="J93" s="2">
        <v>74.900000000000006</v>
      </c>
    </row>
    <row r="94" spans="6:10">
      <c r="F94" s="2" t="s">
        <v>8</v>
      </c>
      <c r="G94" s="2">
        <v>7</v>
      </c>
      <c r="H94" s="2">
        <v>577</v>
      </c>
      <c r="I94" s="2">
        <v>818</v>
      </c>
      <c r="J94" s="2">
        <v>70.5</v>
      </c>
    </row>
    <row r="95" spans="6:10">
      <c r="F95" s="2" t="s">
        <v>8</v>
      </c>
      <c r="G95" s="2">
        <v>8</v>
      </c>
      <c r="H95" s="2">
        <v>548</v>
      </c>
      <c r="I95" s="2">
        <v>818</v>
      </c>
      <c r="J95" s="2">
        <v>67</v>
      </c>
    </row>
    <row r="96" spans="6:10">
      <c r="F96" s="2" t="s">
        <v>8</v>
      </c>
      <c r="G96" s="2">
        <v>9</v>
      </c>
      <c r="H96" s="2">
        <v>518</v>
      </c>
      <c r="I96" s="2">
        <v>818</v>
      </c>
      <c r="J96" s="2">
        <v>63.3</v>
      </c>
    </row>
    <row r="97" spans="6:10">
      <c r="F97" s="2" t="s">
        <v>8</v>
      </c>
      <c r="G97" s="2">
        <v>10</v>
      </c>
      <c r="H97" s="2">
        <v>494</v>
      </c>
      <c r="I97" s="2">
        <v>818</v>
      </c>
      <c r="J97" s="2">
        <v>60.4</v>
      </c>
    </row>
    <row r="98" spans="6:10">
      <c r="F98" s="2" t="s">
        <v>8</v>
      </c>
      <c r="G98" s="2">
        <v>11</v>
      </c>
      <c r="H98" s="2">
        <v>472</v>
      </c>
      <c r="I98" s="2">
        <v>818</v>
      </c>
      <c r="J98" s="2">
        <v>57.7</v>
      </c>
    </row>
    <row r="99" spans="6:10">
      <c r="F99" s="2" t="s">
        <v>8</v>
      </c>
      <c r="G99" s="2">
        <v>12</v>
      </c>
      <c r="H99" s="2">
        <v>452</v>
      </c>
      <c r="I99" s="2">
        <v>818</v>
      </c>
      <c r="J99" s="2">
        <v>55.3</v>
      </c>
    </row>
    <row r="100" spans="6:10">
      <c r="F100" s="2" t="s">
        <v>9</v>
      </c>
      <c r="G100" s="2">
        <v>0</v>
      </c>
      <c r="H100" s="2">
        <v>707</v>
      </c>
      <c r="I100" s="2">
        <v>821</v>
      </c>
      <c r="J100" s="2">
        <v>86.1</v>
      </c>
    </row>
    <row r="101" spans="6:10">
      <c r="F101" s="2" t="s">
        <v>9</v>
      </c>
      <c r="G101" s="2">
        <v>1</v>
      </c>
      <c r="H101" s="2">
        <v>781</v>
      </c>
      <c r="I101" s="2">
        <v>821</v>
      </c>
      <c r="J101" s="2">
        <v>95.1</v>
      </c>
    </row>
    <row r="102" spans="6:10">
      <c r="F102" s="2" t="s">
        <v>9</v>
      </c>
      <c r="G102" s="2">
        <v>2</v>
      </c>
      <c r="H102" s="2">
        <v>747</v>
      </c>
      <c r="I102" s="2">
        <v>821</v>
      </c>
      <c r="J102" s="2">
        <v>91</v>
      </c>
    </row>
    <row r="103" spans="6:10">
      <c r="F103" s="2" t="s">
        <v>9</v>
      </c>
      <c r="G103" s="2">
        <v>3</v>
      </c>
      <c r="H103" s="2">
        <v>716</v>
      </c>
      <c r="I103" s="2">
        <v>821</v>
      </c>
      <c r="J103" s="2">
        <v>87.2</v>
      </c>
    </row>
    <row r="104" spans="6:10">
      <c r="F104" s="2" t="s">
        <v>9</v>
      </c>
      <c r="G104" s="2">
        <v>4</v>
      </c>
      <c r="H104" s="2">
        <v>677</v>
      </c>
      <c r="I104" s="2">
        <v>821</v>
      </c>
      <c r="J104" s="2">
        <v>82.5</v>
      </c>
    </row>
    <row r="105" spans="6:10">
      <c r="F105" s="2" t="s">
        <v>9</v>
      </c>
      <c r="G105" s="2">
        <v>5</v>
      </c>
      <c r="H105" s="2">
        <v>637</v>
      </c>
      <c r="I105" s="2">
        <v>821</v>
      </c>
      <c r="J105" s="2">
        <v>77.599999999999994</v>
      </c>
    </row>
    <row r="106" spans="6:10">
      <c r="F106" s="2" t="s">
        <v>9</v>
      </c>
      <c r="G106" s="2">
        <v>6</v>
      </c>
      <c r="H106" s="2">
        <v>601</v>
      </c>
      <c r="I106" s="2">
        <v>821</v>
      </c>
      <c r="J106" s="2">
        <v>73.2</v>
      </c>
    </row>
    <row r="107" spans="6:10">
      <c r="F107" s="2" t="s">
        <v>9</v>
      </c>
      <c r="G107" s="2">
        <v>7</v>
      </c>
      <c r="H107" s="2">
        <v>577</v>
      </c>
      <c r="I107" s="2">
        <v>821</v>
      </c>
      <c r="J107" s="2">
        <v>70.3</v>
      </c>
    </row>
    <row r="108" spans="6:10">
      <c r="F108" s="2" t="s">
        <v>9</v>
      </c>
      <c r="G108" s="2">
        <v>8</v>
      </c>
      <c r="H108" s="2">
        <v>553</v>
      </c>
      <c r="I108" s="2">
        <v>821</v>
      </c>
      <c r="J108" s="2">
        <v>67.400000000000006</v>
      </c>
    </row>
    <row r="109" spans="6:10">
      <c r="F109" s="2" t="s">
        <v>9</v>
      </c>
      <c r="G109" s="2">
        <v>9</v>
      </c>
      <c r="H109" s="2">
        <v>533</v>
      </c>
      <c r="I109" s="2">
        <v>821</v>
      </c>
      <c r="J109" s="2">
        <v>64.900000000000006</v>
      </c>
    </row>
    <row r="110" spans="6:10">
      <c r="F110" s="2" t="s">
        <v>9</v>
      </c>
      <c r="G110" s="2">
        <v>10</v>
      </c>
      <c r="H110" s="2">
        <v>510</v>
      </c>
      <c r="I110" s="2">
        <v>821</v>
      </c>
      <c r="J110" s="2">
        <v>62.1</v>
      </c>
    </row>
    <row r="111" spans="6:10">
      <c r="F111" s="2" t="s">
        <v>9</v>
      </c>
      <c r="G111" s="2">
        <v>11</v>
      </c>
      <c r="H111" s="2">
        <v>490</v>
      </c>
      <c r="I111" s="2">
        <v>821</v>
      </c>
      <c r="J111" s="2">
        <v>59.7</v>
      </c>
    </row>
    <row r="112" spans="6:10">
      <c r="F112" s="2" t="s">
        <v>9</v>
      </c>
      <c r="G112" s="2">
        <v>12</v>
      </c>
      <c r="H112" s="2">
        <v>462</v>
      </c>
      <c r="I112" s="2">
        <v>821</v>
      </c>
      <c r="J112" s="2">
        <v>56.3</v>
      </c>
    </row>
    <row r="113" spans="6:10">
      <c r="F113" s="2" t="s">
        <v>10</v>
      </c>
      <c r="G113" s="2">
        <v>0</v>
      </c>
      <c r="H113" s="2">
        <v>711</v>
      </c>
      <c r="I113" s="2">
        <v>821</v>
      </c>
      <c r="J113" s="2">
        <v>86.6</v>
      </c>
    </row>
    <row r="114" spans="6:10">
      <c r="F114" s="2" t="s">
        <v>10</v>
      </c>
      <c r="G114" s="2">
        <v>1</v>
      </c>
      <c r="H114" s="2">
        <v>774</v>
      </c>
      <c r="I114" s="2">
        <v>821</v>
      </c>
      <c r="J114" s="2">
        <v>94.3</v>
      </c>
    </row>
    <row r="115" spans="6:10">
      <c r="F115" s="2" t="s">
        <v>10</v>
      </c>
      <c r="G115" s="2">
        <v>2</v>
      </c>
      <c r="H115" s="2">
        <v>723</v>
      </c>
      <c r="I115" s="2">
        <v>821</v>
      </c>
      <c r="J115" s="2">
        <v>88.1</v>
      </c>
    </row>
    <row r="116" spans="6:10">
      <c r="F116" s="2" t="s">
        <v>10</v>
      </c>
      <c r="G116" s="2">
        <v>3</v>
      </c>
      <c r="H116" s="2">
        <v>686</v>
      </c>
      <c r="I116" s="2">
        <v>821</v>
      </c>
      <c r="J116" s="2">
        <v>83.6</v>
      </c>
    </row>
    <row r="117" spans="6:10">
      <c r="F117" s="2" t="s">
        <v>10</v>
      </c>
      <c r="G117" s="2">
        <v>4</v>
      </c>
      <c r="H117" s="2">
        <v>654</v>
      </c>
      <c r="I117" s="2">
        <v>821</v>
      </c>
      <c r="J117" s="2">
        <v>79.7</v>
      </c>
    </row>
    <row r="118" spans="6:10">
      <c r="F118" s="2" t="s">
        <v>10</v>
      </c>
      <c r="G118" s="2">
        <v>5</v>
      </c>
      <c r="H118" s="2">
        <v>617</v>
      </c>
      <c r="I118" s="2">
        <v>821</v>
      </c>
      <c r="J118" s="2">
        <v>75.2</v>
      </c>
    </row>
    <row r="119" spans="6:10">
      <c r="F119" s="2" t="s">
        <v>10</v>
      </c>
      <c r="G119" s="2">
        <v>6</v>
      </c>
      <c r="H119" s="2">
        <v>587</v>
      </c>
      <c r="I119" s="2">
        <v>821</v>
      </c>
      <c r="J119" s="2">
        <v>71.5</v>
      </c>
    </row>
    <row r="120" spans="6:10">
      <c r="F120" s="2" t="s">
        <v>10</v>
      </c>
      <c r="G120" s="2">
        <v>7</v>
      </c>
      <c r="H120" s="2">
        <v>549</v>
      </c>
      <c r="I120" s="2">
        <v>821</v>
      </c>
      <c r="J120" s="2">
        <v>66.900000000000006</v>
      </c>
    </row>
    <row r="121" spans="6:10">
      <c r="F121" s="2" t="s">
        <v>10</v>
      </c>
      <c r="G121" s="2">
        <v>8</v>
      </c>
      <c r="H121" s="2">
        <v>511</v>
      </c>
      <c r="I121" s="2">
        <v>821</v>
      </c>
      <c r="J121" s="2">
        <v>62.2</v>
      </c>
    </row>
    <row r="122" spans="6:10">
      <c r="F122" s="2" t="s">
        <v>10</v>
      </c>
      <c r="G122" s="2">
        <v>9</v>
      </c>
      <c r="H122" s="2">
        <v>489</v>
      </c>
      <c r="I122" s="2">
        <v>821</v>
      </c>
      <c r="J122" s="2">
        <v>59.6</v>
      </c>
    </row>
    <row r="123" spans="6:10">
      <c r="F123" s="2" t="s">
        <v>10</v>
      </c>
      <c r="G123" s="2">
        <v>10</v>
      </c>
      <c r="H123" s="2">
        <v>467</v>
      </c>
      <c r="I123" s="2">
        <v>821</v>
      </c>
      <c r="J123" s="2">
        <v>56.9</v>
      </c>
    </row>
    <row r="124" spans="6:10">
      <c r="F124" s="2" t="s">
        <v>10</v>
      </c>
      <c r="G124" s="2">
        <v>11</v>
      </c>
      <c r="H124" s="2">
        <v>441</v>
      </c>
      <c r="I124" s="2">
        <v>821</v>
      </c>
      <c r="J124" s="2">
        <v>53.7</v>
      </c>
    </row>
    <row r="125" spans="6:10">
      <c r="F125" s="2" t="s">
        <v>10</v>
      </c>
      <c r="G125" s="2">
        <v>12</v>
      </c>
      <c r="H125" s="2">
        <v>426</v>
      </c>
      <c r="I125" s="2">
        <v>821</v>
      </c>
      <c r="J125" s="2">
        <v>51.9</v>
      </c>
    </row>
    <row r="126" spans="6:10">
      <c r="F126" s="2" t="s">
        <v>11</v>
      </c>
      <c r="G126" s="2">
        <v>0</v>
      </c>
      <c r="H126" s="2">
        <v>797</v>
      </c>
      <c r="I126" s="2">
        <v>913</v>
      </c>
      <c r="J126" s="2">
        <v>87.3</v>
      </c>
    </row>
    <row r="127" spans="6:10">
      <c r="F127" s="2" t="s">
        <v>11</v>
      </c>
      <c r="G127" s="2">
        <v>1</v>
      </c>
      <c r="H127" s="2">
        <v>876</v>
      </c>
      <c r="I127" s="2">
        <v>913</v>
      </c>
      <c r="J127" s="2">
        <v>95.9</v>
      </c>
    </row>
    <row r="128" spans="6:10">
      <c r="F128" s="2" t="s">
        <v>11</v>
      </c>
      <c r="G128" s="2">
        <v>2</v>
      </c>
      <c r="H128" s="2">
        <v>832</v>
      </c>
      <c r="I128" s="2">
        <v>913</v>
      </c>
      <c r="J128" s="2">
        <v>91.1</v>
      </c>
    </row>
    <row r="129" spans="6:10">
      <c r="F129" s="2" t="s">
        <v>11</v>
      </c>
      <c r="G129" s="2">
        <v>3</v>
      </c>
      <c r="H129" s="2">
        <v>789</v>
      </c>
      <c r="I129" s="2">
        <v>913</v>
      </c>
      <c r="J129" s="2">
        <v>86.4</v>
      </c>
    </row>
    <row r="130" spans="6:10">
      <c r="F130" s="2" t="s">
        <v>11</v>
      </c>
      <c r="G130" s="2">
        <v>4</v>
      </c>
      <c r="H130" s="2">
        <v>754</v>
      </c>
      <c r="I130" s="2">
        <v>913</v>
      </c>
      <c r="J130" s="2">
        <v>82.6</v>
      </c>
    </row>
    <row r="131" spans="6:10">
      <c r="F131" s="2" t="s">
        <v>11</v>
      </c>
      <c r="G131" s="2">
        <v>5</v>
      </c>
      <c r="H131" s="2">
        <v>721</v>
      </c>
      <c r="I131" s="2">
        <v>913</v>
      </c>
      <c r="J131" s="2">
        <v>79</v>
      </c>
    </row>
    <row r="132" spans="6:10">
      <c r="F132" s="2" t="s">
        <v>11</v>
      </c>
      <c r="G132" s="2">
        <v>6</v>
      </c>
      <c r="H132" s="2">
        <v>684</v>
      </c>
      <c r="I132" s="2">
        <v>913</v>
      </c>
      <c r="J132" s="2">
        <v>74.900000000000006</v>
      </c>
    </row>
    <row r="133" spans="6:10">
      <c r="F133" s="2" t="s">
        <v>11</v>
      </c>
      <c r="G133" s="2">
        <v>7</v>
      </c>
      <c r="H133" s="2">
        <v>653</v>
      </c>
      <c r="I133" s="2">
        <v>913</v>
      </c>
      <c r="J133" s="2">
        <v>71.5</v>
      </c>
    </row>
    <row r="134" spans="6:10">
      <c r="F134" s="2" t="s">
        <v>11</v>
      </c>
      <c r="G134" s="2">
        <v>8</v>
      </c>
      <c r="H134" s="2">
        <v>615</v>
      </c>
      <c r="I134" s="2">
        <v>913</v>
      </c>
      <c r="J134" s="2">
        <v>67.400000000000006</v>
      </c>
    </row>
    <row r="135" spans="6:10">
      <c r="F135" s="2" t="s">
        <v>11</v>
      </c>
      <c r="G135" s="2">
        <v>9</v>
      </c>
      <c r="H135" s="2">
        <v>584</v>
      </c>
      <c r="I135" s="2">
        <v>913</v>
      </c>
      <c r="J135" s="2">
        <v>64</v>
      </c>
    </row>
    <row r="136" spans="6:10">
      <c r="F136" s="2" t="s">
        <v>11</v>
      </c>
      <c r="G136" s="2">
        <v>10</v>
      </c>
      <c r="H136" s="2">
        <v>563</v>
      </c>
      <c r="I136" s="2">
        <v>913</v>
      </c>
      <c r="J136" s="2">
        <v>61.7</v>
      </c>
    </row>
    <row r="137" spans="6:10">
      <c r="F137" s="2" t="s">
        <v>11</v>
      </c>
      <c r="G137" s="2">
        <v>11</v>
      </c>
      <c r="H137" s="2">
        <v>542</v>
      </c>
      <c r="I137" s="2">
        <v>913</v>
      </c>
      <c r="J137" s="2">
        <v>59.4</v>
      </c>
    </row>
    <row r="138" spans="6:10">
      <c r="F138" s="2" t="s">
        <v>11</v>
      </c>
      <c r="G138" s="2">
        <v>12</v>
      </c>
      <c r="H138" s="2">
        <v>511</v>
      </c>
      <c r="I138" s="2">
        <v>913</v>
      </c>
      <c r="J138" s="2">
        <v>56</v>
      </c>
    </row>
    <row r="139" spans="6:10">
      <c r="F139" s="2" t="s">
        <v>12</v>
      </c>
      <c r="G139" s="2">
        <v>0</v>
      </c>
      <c r="H139" s="2">
        <v>736</v>
      </c>
      <c r="I139" s="2">
        <v>864</v>
      </c>
      <c r="J139" s="2">
        <v>85.2</v>
      </c>
    </row>
    <row r="140" spans="6:10">
      <c r="F140" s="2" t="s">
        <v>12</v>
      </c>
      <c r="G140" s="2">
        <v>1</v>
      </c>
      <c r="H140" s="2">
        <v>807</v>
      </c>
      <c r="I140" s="2">
        <v>864</v>
      </c>
      <c r="J140" s="2">
        <v>93.4</v>
      </c>
    </row>
    <row r="141" spans="6:10">
      <c r="F141" s="2" t="s">
        <v>12</v>
      </c>
      <c r="G141" s="2">
        <v>2</v>
      </c>
      <c r="H141" s="2">
        <v>766</v>
      </c>
      <c r="I141" s="2">
        <v>864</v>
      </c>
      <c r="J141" s="2">
        <v>88.7</v>
      </c>
    </row>
    <row r="142" spans="6:10">
      <c r="F142" s="2" t="s">
        <v>12</v>
      </c>
      <c r="G142" s="2">
        <v>3</v>
      </c>
      <c r="H142" s="2">
        <v>734</v>
      </c>
      <c r="I142" s="2">
        <v>864</v>
      </c>
      <c r="J142" s="2">
        <v>85</v>
      </c>
    </row>
    <row r="143" spans="6:10">
      <c r="F143" s="2" t="s">
        <v>12</v>
      </c>
      <c r="G143" s="2">
        <v>4</v>
      </c>
      <c r="H143" s="2">
        <v>698</v>
      </c>
      <c r="I143" s="2">
        <v>864</v>
      </c>
      <c r="J143" s="2">
        <v>80.8</v>
      </c>
    </row>
    <row r="144" spans="6:10">
      <c r="F144" s="2" t="s">
        <v>12</v>
      </c>
      <c r="G144" s="2">
        <v>5</v>
      </c>
      <c r="H144" s="2">
        <v>673</v>
      </c>
      <c r="I144" s="2">
        <v>864</v>
      </c>
      <c r="J144" s="2">
        <v>77.900000000000006</v>
      </c>
    </row>
    <row r="145" spans="6:10">
      <c r="F145" s="2" t="s">
        <v>12</v>
      </c>
      <c r="G145" s="2">
        <v>6</v>
      </c>
      <c r="H145" s="2">
        <v>642</v>
      </c>
      <c r="I145" s="2">
        <v>864</v>
      </c>
      <c r="J145" s="2">
        <v>74.3</v>
      </c>
    </row>
    <row r="146" spans="6:10">
      <c r="F146" s="2" t="s">
        <v>12</v>
      </c>
      <c r="G146" s="2">
        <v>7</v>
      </c>
      <c r="H146" s="2">
        <v>612</v>
      </c>
      <c r="I146" s="2">
        <v>864</v>
      </c>
      <c r="J146" s="2">
        <v>70.8</v>
      </c>
    </row>
    <row r="147" spans="6:10">
      <c r="F147" s="2" t="s">
        <v>12</v>
      </c>
      <c r="G147" s="2">
        <v>8</v>
      </c>
      <c r="H147" s="2">
        <v>581</v>
      </c>
      <c r="I147" s="2">
        <v>864</v>
      </c>
      <c r="J147" s="2">
        <v>67.2</v>
      </c>
    </row>
    <row r="148" spans="6:10">
      <c r="F148" s="2" t="s">
        <v>12</v>
      </c>
      <c r="G148" s="2">
        <v>9</v>
      </c>
      <c r="H148" s="2">
        <v>552</v>
      </c>
      <c r="I148" s="2">
        <v>864</v>
      </c>
      <c r="J148" s="2">
        <v>63.9</v>
      </c>
    </row>
    <row r="149" spans="6:10">
      <c r="F149" s="2" t="s">
        <v>12</v>
      </c>
      <c r="G149" s="2">
        <v>10</v>
      </c>
      <c r="H149" s="2">
        <v>525</v>
      </c>
      <c r="I149" s="2">
        <v>864</v>
      </c>
      <c r="J149" s="2">
        <v>60.8</v>
      </c>
    </row>
    <row r="150" spans="6:10">
      <c r="F150" s="2" t="s">
        <v>12</v>
      </c>
      <c r="G150" s="2">
        <v>11</v>
      </c>
      <c r="H150" s="2">
        <v>504</v>
      </c>
      <c r="I150" s="2">
        <v>864</v>
      </c>
      <c r="J150" s="2">
        <v>58.3</v>
      </c>
    </row>
    <row r="151" spans="6:10">
      <c r="F151" s="2" t="s">
        <v>12</v>
      </c>
      <c r="G151" s="2">
        <v>12</v>
      </c>
      <c r="H151" s="2">
        <v>481</v>
      </c>
      <c r="I151" s="2">
        <v>864</v>
      </c>
      <c r="J151" s="2">
        <v>55.7</v>
      </c>
    </row>
    <row r="152" spans="6:10">
      <c r="F152" s="2" t="s">
        <v>13</v>
      </c>
      <c r="G152" s="2">
        <v>0</v>
      </c>
      <c r="H152" s="2">
        <v>686</v>
      </c>
      <c r="I152" s="2">
        <v>826</v>
      </c>
      <c r="J152" s="2">
        <v>83.1</v>
      </c>
    </row>
    <row r="153" spans="6:10">
      <c r="F153" s="2" t="s">
        <v>13</v>
      </c>
      <c r="G153" s="2">
        <v>1</v>
      </c>
      <c r="H153" s="2">
        <v>774</v>
      </c>
      <c r="I153" s="2">
        <v>826</v>
      </c>
      <c r="J153" s="2">
        <v>93.7</v>
      </c>
    </row>
    <row r="154" spans="6:10">
      <c r="F154" s="2" t="s">
        <v>13</v>
      </c>
      <c r="G154" s="2">
        <v>2</v>
      </c>
      <c r="H154" s="2">
        <v>739</v>
      </c>
      <c r="I154" s="2">
        <v>826</v>
      </c>
      <c r="J154" s="2">
        <v>89.5</v>
      </c>
    </row>
    <row r="155" spans="6:10">
      <c r="F155" s="2" t="s">
        <v>13</v>
      </c>
      <c r="G155" s="2">
        <v>3</v>
      </c>
      <c r="H155" s="2">
        <v>709</v>
      </c>
      <c r="I155" s="2">
        <v>826</v>
      </c>
      <c r="J155" s="2">
        <v>85.8</v>
      </c>
    </row>
    <row r="156" spans="6:10">
      <c r="F156" s="2" t="s">
        <v>13</v>
      </c>
      <c r="G156" s="2">
        <v>4</v>
      </c>
      <c r="H156" s="2">
        <v>674</v>
      </c>
      <c r="I156" s="2">
        <v>826</v>
      </c>
      <c r="J156" s="2">
        <v>81.599999999999994</v>
      </c>
    </row>
    <row r="157" spans="6:10">
      <c r="F157" s="2" t="s">
        <v>13</v>
      </c>
      <c r="G157" s="2">
        <v>5</v>
      </c>
      <c r="H157" s="2">
        <v>640</v>
      </c>
      <c r="I157" s="2">
        <v>826</v>
      </c>
      <c r="J157" s="2">
        <v>77.5</v>
      </c>
    </row>
    <row r="158" spans="6:10">
      <c r="F158" s="2" t="s">
        <v>13</v>
      </c>
      <c r="G158" s="2">
        <v>6</v>
      </c>
      <c r="H158" s="2">
        <v>613</v>
      </c>
      <c r="I158" s="2">
        <v>826</v>
      </c>
      <c r="J158" s="2">
        <v>74.2</v>
      </c>
    </row>
    <row r="159" spans="6:10">
      <c r="F159" s="2" t="s">
        <v>13</v>
      </c>
      <c r="G159" s="2">
        <v>7</v>
      </c>
      <c r="H159" s="2">
        <v>571</v>
      </c>
      <c r="I159" s="2">
        <v>826</v>
      </c>
      <c r="J159" s="2">
        <v>69.099999999999994</v>
      </c>
    </row>
    <row r="160" spans="6:10">
      <c r="F160" s="2" t="s">
        <v>13</v>
      </c>
      <c r="G160" s="2">
        <v>8</v>
      </c>
      <c r="H160" s="2">
        <v>540</v>
      </c>
      <c r="I160" s="2">
        <v>826</v>
      </c>
      <c r="J160" s="2">
        <v>65.400000000000006</v>
      </c>
    </row>
    <row r="161" spans="6:10">
      <c r="F161" s="2" t="s">
        <v>13</v>
      </c>
      <c r="G161" s="2">
        <v>9</v>
      </c>
      <c r="H161" s="2">
        <v>508</v>
      </c>
      <c r="I161" s="2">
        <v>826</v>
      </c>
      <c r="J161" s="2">
        <v>61.5</v>
      </c>
    </row>
    <row r="162" spans="6:10">
      <c r="F162" s="2" t="s">
        <v>13</v>
      </c>
      <c r="G162" s="2">
        <v>10</v>
      </c>
      <c r="H162" s="2">
        <v>489</v>
      </c>
      <c r="I162" s="2">
        <v>826</v>
      </c>
      <c r="J162" s="2">
        <v>59.2</v>
      </c>
    </row>
    <row r="163" spans="6:10">
      <c r="F163" s="2" t="s">
        <v>13</v>
      </c>
      <c r="G163" s="2">
        <v>11</v>
      </c>
      <c r="H163" s="2">
        <v>467</v>
      </c>
      <c r="I163" s="2">
        <v>826</v>
      </c>
      <c r="J163" s="2">
        <v>56.5</v>
      </c>
    </row>
    <row r="164" spans="6:10">
      <c r="F164" s="2" t="s">
        <v>13</v>
      </c>
      <c r="G164" s="2">
        <v>12</v>
      </c>
      <c r="H164" s="2">
        <v>445</v>
      </c>
      <c r="I164" s="2">
        <v>826</v>
      </c>
      <c r="J164" s="2">
        <v>53.9</v>
      </c>
    </row>
    <row r="165" spans="6:10">
      <c r="F165" s="2" t="s">
        <v>14</v>
      </c>
      <c r="G165" s="2">
        <v>0</v>
      </c>
      <c r="H165" s="2">
        <v>798</v>
      </c>
      <c r="I165" s="2">
        <v>922</v>
      </c>
      <c r="J165" s="2">
        <v>86.6</v>
      </c>
    </row>
    <row r="166" spans="6:10">
      <c r="F166" s="2" t="s">
        <v>14</v>
      </c>
      <c r="G166" s="2">
        <v>1</v>
      </c>
      <c r="H166" s="2">
        <v>862</v>
      </c>
      <c r="I166" s="2">
        <v>922</v>
      </c>
      <c r="J166" s="2">
        <v>93.5</v>
      </c>
    </row>
    <row r="167" spans="6:10">
      <c r="F167" s="2" t="s">
        <v>14</v>
      </c>
      <c r="G167" s="2">
        <v>2</v>
      </c>
      <c r="H167" s="2">
        <v>819</v>
      </c>
      <c r="I167" s="2">
        <v>922</v>
      </c>
      <c r="J167" s="2">
        <v>88.8</v>
      </c>
    </row>
    <row r="168" spans="6:10">
      <c r="F168" s="2" t="s">
        <v>14</v>
      </c>
      <c r="G168" s="2">
        <v>3</v>
      </c>
      <c r="H168" s="2">
        <v>771</v>
      </c>
      <c r="I168" s="2">
        <v>922</v>
      </c>
      <c r="J168" s="2">
        <v>83.6</v>
      </c>
    </row>
    <row r="169" spans="6:10">
      <c r="F169" s="2" t="s">
        <v>14</v>
      </c>
      <c r="G169" s="2">
        <v>4</v>
      </c>
      <c r="H169" s="2">
        <v>736</v>
      </c>
      <c r="I169" s="2">
        <v>922</v>
      </c>
      <c r="J169" s="2">
        <v>79.8</v>
      </c>
    </row>
    <row r="170" spans="6:10">
      <c r="F170" s="2" t="s">
        <v>14</v>
      </c>
      <c r="G170" s="2">
        <v>5</v>
      </c>
      <c r="H170" s="2">
        <v>696</v>
      </c>
      <c r="I170" s="2">
        <v>922</v>
      </c>
      <c r="J170" s="2">
        <v>75.5</v>
      </c>
    </row>
    <row r="171" spans="6:10">
      <c r="F171" s="2" t="s">
        <v>14</v>
      </c>
      <c r="G171" s="2">
        <v>6</v>
      </c>
      <c r="H171" s="2">
        <v>664</v>
      </c>
      <c r="I171" s="2">
        <v>922</v>
      </c>
      <c r="J171" s="2">
        <v>72</v>
      </c>
    </row>
    <row r="172" spans="6:10">
      <c r="F172" s="2" t="s">
        <v>14</v>
      </c>
      <c r="G172" s="2">
        <v>7</v>
      </c>
      <c r="H172" s="2">
        <v>632</v>
      </c>
      <c r="I172" s="2">
        <v>922</v>
      </c>
      <c r="J172" s="2">
        <v>68.5</v>
      </c>
    </row>
    <row r="173" spans="6:10">
      <c r="F173" s="2" t="s">
        <v>14</v>
      </c>
      <c r="G173" s="2">
        <v>8</v>
      </c>
      <c r="H173" s="2">
        <v>604</v>
      </c>
      <c r="I173" s="2">
        <v>922</v>
      </c>
      <c r="J173" s="2">
        <v>65.5</v>
      </c>
    </row>
    <row r="174" spans="6:10">
      <c r="F174" s="2" t="s">
        <v>14</v>
      </c>
      <c r="G174" s="2">
        <v>9</v>
      </c>
      <c r="H174" s="2">
        <v>585</v>
      </c>
      <c r="I174" s="2">
        <v>922</v>
      </c>
      <c r="J174" s="2">
        <v>63.4</v>
      </c>
    </row>
    <row r="175" spans="6:10">
      <c r="F175" s="2" t="s">
        <v>14</v>
      </c>
      <c r="G175" s="2">
        <v>10</v>
      </c>
      <c r="H175" s="2">
        <v>562</v>
      </c>
      <c r="I175" s="2">
        <v>922</v>
      </c>
      <c r="J175" s="2">
        <v>61</v>
      </c>
    </row>
    <row r="176" spans="6:10">
      <c r="F176" s="2" t="s">
        <v>14</v>
      </c>
      <c r="G176" s="2">
        <v>11</v>
      </c>
      <c r="H176" s="2">
        <v>540</v>
      </c>
      <c r="I176" s="2">
        <v>922</v>
      </c>
      <c r="J176" s="2">
        <v>58.6</v>
      </c>
    </row>
    <row r="177" spans="6:10">
      <c r="F177" s="2" t="s">
        <v>14</v>
      </c>
      <c r="G177" s="2">
        <v>12</v>
      </c>
      <c r="H177" s="2">
        <v>511</v>
      </c>
      <c r="I177" s="2">
        <v>922</v>
      </c>
      <c r="J177" s="2">
        <v>55.4</v>
      </c>
    </row>
    <row r="178" spans="6:10">
      <c r="F178" s="2" t="s">
        <v>15</v>
      </c>
      <c r="G178" s="2">
        <v>0</v>
      </c>
      <c r="H178" s="2">
        <v>716</v>
      </c>
      <c r="I178" s="2">
        <v>847</v>
      </c>
      <c r="J178" s="2">
        <v>84.5</v>
      </c>
    </row>
    <row r="179" spans="6:10">
      <c r="F179" s="2" t="s">
        <v>15</v>
      </c>
      <c r="G179" s="2">
        <v>1</v>
      </c>
      <c r="H179" s="2">
        <v>790</v>
      </c>
      <c r="I179" s="2">
        <v>847</v>
      </c>
      <c r="J179" s="2">
        <v>93.3</v>
      </c>
    </row>
    <row r="180" spans="6:10">
      <c r="F180" s="2" t="s">
        <v>15</v>
      </c>
      <c r="G180" s="2">
        <v>2</v>
      </c>
      <c r="H180" s="2">
        <v>734</v>
      </c>
      <c r="I180" s="2">
        <v>847</v>
      </c>
      <c r="J180" s="2">
        <v>86.7</v>
      </c>
    </row>
    <row r="181" spans="6:10">
      <c r="F181" s="2" t="s">
        <v>15</v>
      </c>
      <c r="G181" s="2">
        <v>3</v>
      </c>
      <c r="H181" s="2">
        <v>703</v>
      </c>
      <c r="I181" s="2">
        <v>847</v>
      </c>
      <c r="J181" s="2">
        <v>83</v>
      </c>
    </row>
    <row r="182" spans="6:10">
      <c r="F182" s="2" t="s">
        <v>15</v>
      </c>
      <c r="G182" s="2">
        <v>4</v>
      </c>
      <c r="H182" s="2">
        <v>652</v>
      </c>
      <c r="I182" s="2">
        <v>847</v>
      </c>
      <c r="J182" s="2">
        <v>77</v>
      </c>
    </row>
    <row r="183" spans="6:10">
      <c r="F183" s="2" t="s">
        <v>15</v>
      </c>
      <c r="G183" s="2">
        <v>5</v>
      </c>
      <c r="H183" s="2">
        <v>616</v>
      </c>
      <c r="I183" s="2">
        <v>847</v>
      </c>
      <c r="J183" s="2">
        <v>72.7</v>
      </c>
    </row>
    <row r="184" spans="6:10">
      <c r="F184" s="2" t="s">
        <v>15</v>
      </c>
      <c r="G184" s="2">
        <v>6</v>
      </c>
      <c r="H184" s="2">
        <v>578</v>
      </c>
      <c r="I184" s="2">
        <v>847</v>
      </c>
      <c r="J184" s="2">
        <v>68.2</v>
      </c>
    </row>
    <row r="185" spans="6:10">
      <c r="F185" s="2" t="s">
        <v>15</v>
      </c>
      <c r="G185" s="2">
        <v>7</v>
      </c>
      <c r="H185" s="2">
        <v>550</v>
      </c>
      <c r="I185" s="2">
        <v>847</v>
      </c>
      <c r="J185" s="2">
        <v>64.900000000000006</v>
      </c>
    </row>
    <row r="186" spans="6:10">
      <c r="F186" s="2" t="s">
        <v>15</v>
      </c>
      <c r="G186" s="2">
        <v>8</v>
      </c>
      <c r="H186" s="2">
        <v>530</v>
      </c>
      <c r="I186" s="2">
        <v>847</v>
      </c>
      <c r="J186" s="2">
        <v>62.6</v>
      </c>
    </row>
    <row r="187" spans="6:10">
      <c r="F187" s="2" t="s">
        <v>15</v>
      </c>
      <c r="G187" s="2">
        <v>9</v>
      </c>
      <c r="H187" s="2">
        <v>494</v>
      </c>
      <c r="I187" s="2">
        <v>847</v>
      </c>
      <c r="J187" s="2">
        <v>58.3</v>
      </c>
    </row>
    <row r="188" spans="6:10">
      <c r="F188" s="2" t="s">
        <v>15</v>
      </c>
      <c r="G188" s="2">
        <v>10</v>
      </c>
      <c r="H188" s="2">
        <v>473</v>
      </c>
      <c r="I188" s="2">
        <v>847</v>
      </c>
      <c r="J188" s="2">
        <v>55.8</v>
      </c>
    </row>
    <row r="189" spans="6:10">
      <c r="F189" s="2" t="s">
        <v>15</v>
      </c>
      <c r="G189" s="2">
        <v>11</v>
      </c>
      <c r="H189" s="2">
        <v>456</v>
      </c>
      <c r="I189" s="2">
        <v>847</v>
      </c>
      <c r="J189" s="2">
        <v>53.8</v>
      </c>
    </row>
    <row r="190" spans="6:10">
      <c r="F190" s="2" t="s">
        <v>15</v>
      </c>
      <c r="G190" s="2">
        <v>12</v>
      </c>
      <c r="H190" s="2">
        <v>428</v>
      </c>
      <c r="I190" s="2">
        <v>847</v>
      </c>
      <c r="J190" s="2">
        <v>50.5</v>
      </c>
    </row>
    <row r="191" spans="6:10">
      <c r="F191" s="2" t="s">
        <v>16</v>
      </c>
      <c r="G191" s="2">
        <v>0</v>
      </c>
      <c r="H191" s="2">
        <v>689</v>
      </c>
      <c r="I191" s="2">
        <v>838</v>
      </c>
      <c r="J191" s="2">
        <v>82.2</v>
      </c>
    </row>
    <row r="192" spans="6:10">
      <c r="F192" s="2" t="s">
        <v>16</v>
      </c>
      <c r="G192" s="2">
        <v>1</v>
      </c>
      <c r="H192" s="2">
        <v>784</v>
      </c>
      <c r="I192" s="2">
        <v>838</v>
      </c>
      <c r="J192" s="2">
        <v>93.6</v>
      </c>
    </row>
    <row r="193" spans="6:10">
      <c r="F193" s="2" t="s">
        <v>16</v>
      </c>
      <c r="G193" s="2">
        <v>2</v>
      </c>
      <c r="H193" s="2">
        <v>748</v>
      </c>
      <c r="I193" s="2">
        <v>838</v>
      </c>
      <c r="J193" s="2">
        <v>89.3</v>
      </c>
    </row>
    <row r="194" spans="6:10">
      <c r="F194" s="2" t="s">
        <v>16</v>
      </c>
      <c r="G194" s="2">
        <v>3</v>
      </c>
      <c r="H194" s="2">
        <v>715</v>
      </c>
      <c r="I194" s="2">
        <v>838</v>
      </c>
      <c r="J194" s="2">
        <v>85.3</v>
      </c>
    </row>
    <row r="195" spans="6:10">
      <c r="F195" s="2" t="s">
        <v>16</v>
      </c>
      <c r="G195" s="2">
        <v>4</v>
      </c>
      <c r="H195" s="2">
        <v>670</v>
      </c>
      <c r="I195" s="2">
        <v>838</v>
      </c>
      <c r="J195" s="2">
        <v>80</v>
      </c>
    </row>
    <row r="196" spans="6:10">
      <c r="F196" s="2" t="s">
        <v>16</v>
      </c>
      <c r="G196" s="2">
        <v>5</v>
      </c>
      <c r="H196" s="2">
        <v>632</v>
      </c>
      <c r="I196" s="2">
        <v>838</v>
      </c>
      <c r="J196" s="2">
        <v>75.400000000000006</v>
      </c>
    </row>
    <row r="197" spans="6:10">
      <c r="F197" s="2" t="s">
        <v>16</v>
      </c>
      <c r="G197" s="2">
        <v>6</v>
      </c>
      <c r="H197" s="2">
        <v>610</v>
      </c>
      <c r="I197" s="2">
        <v>838</v>
      </c>
      <c r="J197" s="2">
        <v>72.8</v>
      </c>
    </row>
    <row r="198" spans="6:10">
      <c r="F198" s="2" t="s">
        <v>16</v>
      </c>
      <c r="G198" s="2">
        <v>7</v>
      </c>
      <c r="H198" s="2">
        <v>586</v>
      </c>
      <c r="I198" s="2">
        <v>838</v>
      </c>
      <c r="J198" s="2">
        <v>69.900000000000006</v>
      </c>
    </row>
    <row r="199" spans="6:10">
      <c r="F199" s="2" t="s">
        <v>16</v>
      </c>
      <c r="G199" s="2">
        <v>8</v>
      </c>
      <c r="H199" s="2">
        <v>554</v>
      </c>
      <c r="I199" s="2">
        <v>838</v>
      </c>
      <c r="J199" s="2">
        <v>66.099999999999994</v>
      </c>
    </row>
    <row r="200" spans="6:10">
      <c r="F200" s="2" t="s">
        <v>16</v>
      </c>
      <c r="G200" s="2">
        <v>9</v>
      </c>
      <c r="H200" s="2">
        <v>528</v>
      </c>
      <c r="I200" s="2">
        <v>838</v>
      </c>
      <c r="J200" s="2">
        <v>63</v>
      </c>
    </row>
    <row r="201" spans="6:10">
      <c r="F201" s="2" t="s">
        <v>16</v>
      </c>
      <c r="G201" s="2">
        <v>10</v>
      </c>
      <c r="H201" s="2">
        <v>504</v>
      </c>
      <c r="I201" s="2">
        <v>838</v>
      </c>
      <c r="J201" s="2">
        <v>60.1</v>
      </c>
    </row>
    <row r="202" spans="6:10">
      <c r="F202" s="2" t="s">
        <v>16</v>
      </c>
      <c r="G202" s="2">
        <v>11</v>
      </c>
      <c r="H202" s="2">
        <v>474</v>
      </c>
      <c r="I202" s="2">
        <v>838</v>
      </c>
      <c r="J202" s="2">
        <v>56.6</v>
      </c>
    </row>
    <row r="203" spans="6:10">
      <c r="F203" s="2" t="s">
        <v>16</v>
      </c>
      <c r="G203" s="2">
        <v>12</v>
      </c>
      <c r="H203" s="2">
        <v>452</v>
      </c>
      <c r="I203" s="2">
        <v>838</v>
      </c>
      <c r="J203" s="2">
        <v>53.9</v>
      </c>
    </row>
    <row r="204" spans="6:10">
      <c r="F204" s="2" t="s">
        <v>17</v>
      </c>
      <c r="G204" s="2">
        <v>0</v>
      </c>
      <c r="H204" s="2">
        <v>728</v>
      </c>
      <c r="I204" s="2">
        <v>847</v>
      </c>
      <c r="J204" s="2">
        <v>86</v>
      </c>
    </row>
    <row r="205" spans="6:10">
      <c r="F205" s="2" t="s">
        <v>17</v>
      </c>
      <c r="G205" s="2">
        <v>1</v>
      </c>
      <c r="H205" s="2">
        <v>805</v>
      </c>
      <c r="I205" s="2">
        <v>847</v>
      </c>
      <c r="J205" s="2">
        <v>95</v>
      </c>
    </row>
    <row r="206" spans="6:10">
      <c r="F206" s="2" t="s">
        <v>17</v>
      </c>
      <c r="G206" s="2">
        <v>2</v>
      </c>
      <c r="H206" s="2">
        <v>764</v>
      </c>
      <c r="I206" s="2">
        <v>847</v>
      </c>
      <c r="J206" s="2">
        <v>90.2</v>
      </c>
    </row>
    <row r="207" spans="6:10">
      <c r="F207" s="2" t="s">
        <v>17</v>
      </c>
      <c r="G207" s="2">
        <v>3</v>
      </c>
      <c r="H207" s="2">
        <v>721</v>
      </c>
      <c r="I207" s="2">
        <v>847</v>
      </c>
      <c r="J207" s="2">
        <v>85.1</v>
      </c>
    </row>
    <row r="208" spans="6:10">
      <c r="F208" s="2" t="s">
        <v>17</v>
      </c>
      <c r="G208" s="2">
        <v>4</v>
      </c>
      <c r="H208" s="2">
        <v>699</v>
      </c>
      <c r="I208" s="2">
        <v>847</v>
      </c>
      <c r="J208" s="2">
        <v>82.5</v>
      </c>
    </row>
    <row r="209" spans="6:10">
      <c r="F209" s="2" t="s">
        <v>17</v>
      </c>
      <c r="G209" s="2">
        <v>5</v>
      </c>
      <c r="H209" s="2">
        <v>671</v>
      </c>
      <c r="I209" s="2">
        <v>847</v>
      </c>
      <c r="J209" s="2">
        <v>79.2</v>
      </c>
    </row>
    <row r="210" spans="6:10">
      <c r="F210" s="2" t="s">
        <v>17</v>
      </c>
      <c r="G210" s="2">
        <v>6</v>
      </c>
      <c r="H210" s="2">
        <v>652</v>
      </c>
      <c r="I210" s="2">
        <v>847</v>
      </c>
      <c r="J210" s="2">
        <v>77</v>
      </c>
    </row>
    <row r="211" spans="6:10">
      <c r="F211" s="2" t="s">
        <v>17</v>
      </c>
      <c r="G211" s="2">
        <v>7</v>
      </c>
      <c r="H211" s="2">
        <v>619</v>
      </c>
      <c r="I211" s="2">
        <v>847</v>
      </c>
      <c r="J211" s="2">
        <v>73.099999999999994</v>
      </c>
    </row>
    <row r="212" spans="6:10">
      <c r="F212" s="2" t="s">
        <v>17</v>
      </c>
      <c r="G212" s="2">
        <v>8</v>
      </c>
      <c r="H212" s="2">
        <v>581</v>
      </c>
      <c r="I212" s="2">
        <v>847</v>
      </c>
      <c r="J212" s="2">
        <v>68.599999999999994</v>
      </c>
    </row>
    <row r="213" spans="6:10">
      <c r="F213" s="2" t="s">
        <v>17</v>
      </c>
      <c r="G213" s="2">
        <v>9</v>
      </c>
      <c r="H213" s="2">
        <v>550</v>
      </c>
      <c r="I213" s="2">
        <v>847</v>
      </c>
      <c r="J213" s="2">
        <v>64.900000000000006</v>
      </c>
    </row>
    <row r="214" spans="6:10">
      <c r="F214" s="2" t="s">
        <v>17</v>
      </c>
      <c r="G214" s="2">
        <v>10</v>
      </c>
      <c r="H214" s="2">
        <v>512</v>
      </c>
      <c r="I214" s="2">
        <v>847</v>
      </c>
      <c r="J214" s="2">
        <v>60.4</v>
      </c>
    </row>
    <row r="215" spans="6:10">
      <c r="F215" s="2" t="s">
        <v>17</v>
      </c>
      <c r="G215" s="2">
        <v>11</v>
      </c>
      <c r="H215" s="2">
        <v>490</v>
      </c>
      <c r="I215" s="2">
        <v>847</v>
      </c>
      <c r="J215" s="2">
        <v>57.9</v>
      </c>
    </row>
    <row r="216" spans="6:10">
      <c r="F216" s="2" t="s">
        <v>17</v>
      </c>
      <c r="G216" s="2">
        <v>12</v>
      </c>
      <c r="H216" s="2">
        <v>468</v>
      </c>
      <c r="I216" s="2">
        <v>847</v>
      </c>
      <c r="J216" s="2">
        <v>55.3</v>
      </c>
    </row>
    <row r="217" spans="6:10">
      <c r="F217" s="2" t="s">
        <v>18</v>
      </c>
      <c r="G217" s="2">
        <v>0</v>
      </c>
      <c r="H217" s="2">
        <v>657</v>
      </c>
      <c r="I217" s="2">
        <v>772</v>
      </c>
      <c r="J217" s="2">
        <v>85.1</v>
      </c>
    </row>
    <row r="218" spans="6:10">
      <c r="F218" s="2" t="s">
        <v>18</v>
      </c>
      <c r="G218" s="2">
        <v>1</v>
      </c>
      <c r="H218" s="2">
        <v>728</v>
      </c>
      <c r="I218" s="2">
        <v>772</v>
      </c>
      <c r="J218" s="2">
        <v>94.3</v>
      </c>
    </row>
    <row r="219" spans="6:10">
      <c r="F219" s="2" t="s">
        <v>18</v>
      </c>
      <c r="G219" s="2">
        <v>2</v>
      </c>
      <c r="H219" s="2">
        <v>681</v>
      </c>
      <c r="I219" s="2">
        <v>772</v>
      </c>
      <c r="J219" s="2">
        <v>88.2</v>
      </c>
    </row>
    <row r="220" spans="6:10">
      <c r="F220" s="2" t="s">
        <v>18</v>
      </c>
      <c r="G220" s="2">
        <v>3</v>
      </c>
      <c r="H220" s="2">
        <v>642</v>
      </c>
      <c r="I220" s="2">
        <v>772</v>
      </c>
      <c r="J220" s="2">
        <v>83.2</v>
      </c>
    </row>
    <row r="221" spans="6:10">
      <c r="F221" s="2" t="s">
        <v>18</v>
      </c>
      <c r="G221" s="2">
        <v>4</v>
      </c>
      <c r="H221" s="2">
        <v>604</v>
      </c>
      <c r="I221" s="2">
        <v>772</v>
      </c>
      <c r="J221" s="2">
        <v>78.2</v>
      </c>
    </row>
    <row r="222" spans="6:10">
      <c r="F222" s="2" t="s">
        <v>18</v>
      </c>
      <c r="G222" s="2">
        <v>5</v>
      </c>
      <c r="H222" s="2">
        <v>569</v>
      </c>
      <c r="I222" s="2">
        <v>772</v>
      </c>
      <c r="J222" s="2">
        <v>73.7</v>
      </c>
    </row>
    <row r="223" spans="6:10">
      <c r="F223" s="2" t="s">
        <v>18</v>
      </c>
      <c r="G223" s="2">
        <v>6</v>
      </c>
      <c r="H223" s="2">
        <v>542</v>
      </c>
      <c r="I223" s="2">
        <v>772</v>
      </c>
      <c r="J223" s="2">
        <v>70.2</v>
      </c>
    </row>
    <row r="224" spans="6:10">
      <c r="F224" s="2" t="s">
        <v>18</v>
      </c>
      <c r="G224" s="2">
        <v>7</v>
      </c>
      <c r="H224" s="2">
        <v>516</v>
      </c>
      <c r="I224" s="2">
        <v>772</v>
      </c>
      <c r="J224" s="2">
        <v>66.8</v>
      </c>
    </row>
    <row r="225" spans="6:10">
      <c r="F225" s="2" t="s">
        <v>18</v>
      </c>
      <c r="G225" s="2">
        <v>8</v>
      </c>
      <c r="H225" s="2">
        <v>494</v>
      </c>
      <c r="I225" s="2">
        <v>772</v>
      </c>
      <c r="J225" s="2">
        <v>64</v>
      </c>
    </row>
    <row r="226" spans="6:10">
      <c r="F226" s="2" t="s">
        <v>18</v>
      </c>
      <c r="G226" s="2">
        <v>9</v>
      </c>
      <c r="H226" s="2">
        <v>463</v>
      </c>
      <c r="I226" s="2">
        <v>772</v>
      </c>
      <c r="J226" s="2">
        <v>60</v>
      </c>
    </row>
    <row r="227" spans="6:10">
      <c r="F227" s="2" t="s">
        <v>18</v>
      </c>
      <c r="G227" s="2">
        <v>10</v>
      </c>
      <c r="H227" s="2">
        <v>440</v>
      </c>
      <c r="I227" s="2">
        <v>772</v>
      </c>
      <c r="J227" s="2">
        <v>57</v>
      </c>
    </row>
    <row r="228" spans="6:10">
      <c r="F228" s="2" t="s">
        <v>18</v>
      </c>
      <c r="G228" s="2">
        <v>11</v>
      </c>
      <c r="H228" s="2">
        <v>419</v>
      </c>
      <c r="I228" s="2">
        <v>772</v>
      </c>
      <c r="J228" s="2">
        <v>54.3</v>
      </c>
    </row>
    <row r="229" spans="6:10">
      <c r="F229" s="2" t="s">
        <v>18</v>
      </c>
      <c r="G229" s="2">
        <v>12</v>
      </c>
      <c r="H229" s="2">
        <v>400</v>
      </c>
      <c r="I229" s="2">
        <v>772</v>
      </c>
      <c r="J229" s="2">
        <v>51.8</v>
      </c>
    </row>
    <row r="230" spans="6:10">
      <c r="F230" s="2" t="s">
        <v>19</v>
      </c>
      <c r="G230" s="2">
        <v>0</v>
      </c>
      <c r="H230" s="2">
        <v>697</v>
      </c>
      <c r="I230" s="2">
        <v>833</v>
      </c>
      <c r="J230" s="2">
        <v>83.7</v>
      </c>
    </row>
    <row r="231" spans="6:10">
      <c r="F231" s="2" t="s">
        <v>19</v>
      </c>
      <c r="G231" s="2">
        <v>1</v>
      </c>
      <c r="H231" s="2">
        <v>779</v>
      </c>
      <c r="I231" s="2">
        <v>833</v>
      </c>
      <c r="J231" s="2">
        <v>93.5</v>
      </c>
    </row>
    <row r="232" spans="6:10">
      <c r="F232" s="2" t="s">
        <v>19</v>
      </c>
      <c r="G232" s="2">
        <v>2</v>
      </c>
      <c r="H232" s="2">
        <v>736</v>
      </c>
      <c r="I232" s="2">
        <v>833</v>
      </c>
      <c r="J232" s="2">
        <v>88.4</v>
      </c>
    </row>
    <row r="233" spans="6:10">
      <c r="F233" s="2" t="s">
        <v>19</v>
      </c>
      <c r="G233" s="2">
        <v>3</v>
      </c>
      <c r="H233" s="2">
        <v>699</v>
      </c>
      <c r="I233" s="2">
        <v>833</v>
      </c>
      <c r="J233" s="2">
        <v>83.9</v>
      </c>
    </row>
    <row r="234" spans="6:10">
      <c r="F234" s="2" t="s">
        <v>19</v>
      </c>
      <c r="G234" s="2">
        <v>4</v>
      </c>
      <c r="H234" s="2">
        <v>668</v>
      </c>
      <c r="I234" s="2">
        <v>833</v>
      </c>
      <c r="J234" s="2">
        <v>80.2</v>
      </c>
    </row>
    <row r="235" spans="6:10">
      <c r="F235" s="2" t="s">
        <v>19</v>
      </c>
      <c r="G235" s="2">
        <v>5</v>
      </c>
      <c r="H235" s="2">
        <v>637</v>
      </c>
      <c r="I235" s="2">
        <v>833</v>
      </c>
      <c r="J235" s="2">
        <v>76.5</v>
      </c>
    </row>
    <row r="236" spans="6:10">
      <c r="F236" s="2" t="s">
        <v>19</v>
      </c>
      <c r="G236" s="2">
        <v>6</v>
      </c>
      <c r="H236" s="2">
        <v>607</v>
      </c>
      <c r="I236" s="2">
        <v>833</v>
      </c>
      <c r="J236" s="2">
        <v>72.900000000000006</v>
      </c>
    </row>
    <row r="237" spans="6:10">
      <c r="F237" s="2" t="s">
        <v>19</v>
      </c>
      <c r="G237" s="2">
        <v>7</v>
      </c>
      <c r="H237" s="2">
        <v>578</v>
      </c>
      <c r="I237" s="2">
        <v>833</v>
      </c>
      <c r="J237" s="2">
        <v>69.400000000000006</v>
      </c>
    </row>
    <row r="238" spans="6:10">
      <c r="F238" s="2" t="s">
        <v>19</v>
      </c>
      <c r="G238" s="2">
        <v>8</v>
      </c>
      <c r="H238" s="2">
        <v>554</v>
      </c>
      <c r="I238" s="2">
        <v>833</v>
      </c>
      <c r="J238" s="2">
        <v>66.5</v>
      </c>
    </row>
    <row r="239" spans="6:10">
      <c r="F239" s="2" t="s">
        <v>19</v>
      </c>
      <c r="G239" s="2">
        <v>9</v>
      </c>
      <c r="H239" s="2">
        <v>523</v>
      </c>
      <c r="I239" s="2">
        <v>833</v>
      </c>
      <c r="J239" s="2">
        <v>62.8</v>
      </c>
    </row>
    <row r="240" spans="6:10">
      <c r="F240" s="2" t="s">
        <v>19</v>
      </c>
      <c r="G240" s="2">
        <v>10</v>
      </c>
      <c r="H240" s="2">
        <v>499</v>
      </c>
      <c r="I240" s="2">
        <v>833</v>
      </c>
      <c r="J240" s="2">
        <v>59.9</v>
      </c>
    </row>
    <row r="241" spans="6:10">
      <c r="F241" s="2" t="s">
        <v>19</v>
      </c>
      <c r="G241" s="2">
        <v>11</v>
      </c>
      <c r="H241" s="2">
        <v>480</v>
      </c>
      <c r="I241" s="2">
        <v>833</v>
      </c>
      <c r="J241" s="2">
        <v>57.6</v>
      </c>
    </row>
    <row r="242" spans="6:10">
      <c r="F242" s="2" t="s">
        <v>19</v>
      </c>
      <c r="G242" s="2">
        <v>12</v>
      </c>
      <c r="H242" s="2">
        <v>456</v>
      </c>
      <c r="I242" s="2">
        <v>833</v>
      </c>
      <c r="J242" s="2">
        <v>54.7</v>
      </c>
    </row>
    <row r="243" spans="6:10">
      <c r="F243" s="2" t="s">
        <v>20</v>
      </c>
      <c r="G243" s="2">
        <v>0</v>
      </c>
      <c r="H243" s="2">
        <v>692</v>
      </c>
      <c r="I243" s="2">
        <v>799</v>
      </c>
      <c r="J243" s="2">
        <v>86.6</v>
      </c>
    </row>
    <row r="244" spans="6:10">
      <c r="F244" s="2" t="s">
        <v>20</v>
      </c>
      <c r="G244" s="2">
        <v>1</v>
      </c>
      <c r="H244" s="2">
        <v>761</v>
      </c>
      <c r="I244" s="2">
        <v>799</v>
      </c>
      <c r="J244" s="2">
        <v>95.2</v>
      </c>
    </row>
    <row r="245" spans="6:10">
      <c r="F245" s="2" t="s">
        <v>20</v>
      </c>
      <c r="G245" s="2">
        <v>2</v>
      </c>
      <c r="H245" s="2">
        <v>719</v>
      </c>
      <c r="I245" s="2">
        <v>799</v>
      </c>
      <c r="J245" s="2">
        <v>90</v>
      </c>
    </row>
    <row r="246" spans="6:10">
      <c r="F246" s="2" t="s">
        <v>20</v>
      </c>
      <c r="G246" s="2">
        <v>3</v>
      </c>
      <c r="H246" s="2">
        <v>681</v>
      </c>
      <c r="I246" s="2">
        <v>799</v>
      </c>
      <c r="J246" s="2">
        <v>85.2</v>
      </c>
    </row>
    <row r="247" spans="6:10">
      <c r="F247" s="2" t="s">
        <v>20</v>
      </c>
      <c r="G247" s="2">
        <v>4</v>
      </c>
      <c r="H247" s="2">
        <v>647</v>
      </c>
      <c r="I247" s="2">
        <v>799</v>
      </c>
      <c r="J247" s="2">
        <v>81</v>
      </c>
    </row>
    <row r="248" spans="6:10">
      <c r="F248" s="2" t="s">
        <v>20</v>
      </c>
      <c r="G248" s="2">
        <v>5</v>
      </c>
      <c r="H248" s="2">
        <v>617</v>
      </c>
      <c r="I248" s="2">
        <v>799</v>
      </c>
      <c r="J248" s="2">
        <v>77.2</v>
      </c>
    </row>
    <row r="249" spans="6:10">
      <c r="F249" s="2" t="s">
        <v>20</v>
      </c>
      <c r="G249" s="2">
        <v>6</v>
      </c>
      <c r="H249" s="2">
        <v>589</v>
      </c>
      <c r="I249" s="2">
        <v>799</v>
      </c>
      <c r="J249" s="2">
        <v>73.7</v>
      </c>
    </row>
    <row r="250" spans="6:10">
      <c r="F250" s="2" t="s">
        <v>20</v>
      </c>
      <c r="G250" s="2">
        <v>7</v>
      </c>
      <c r="H250" s="2">
        <v>560</v>
      </c>
      <c r="I250" s="2">
        <v>799</v>
      </c>
      <c r="J250" s="2">
        <v>70.099999999999994</v>
      </c>
    </row>
    <row r="251" spans="6:10">
      <c r="F251" s="2" t="s">
        <v>20</v>
      </c>
      <c r="G251" s="2">
        <v>8</v>
      </c>
      <c r="H251" s="2">
        <v>541</v>
      </c>
      <c r="I251" s="2">
        <v>799</v>
      </c>
      <c r="J251" s="2">
        <v>67.7</v>
      </c>
    </row>
    <row r="252" spans="6:10">
      <c r="F252" s="2" t="s">
        <v>20</v>
      </c>
      <c r="G252" s="2">
        <v>9</v>
      </c>
      <c r="H252" s="2">
        <v>508</v>
      </c>
      <c r="I252" s="2">
        <v>799</v>
      </c>
      <c r="J252" s="2">
        <v>63.6</v>
      </c>
    </row>
    <row r="253" spans="6:10">
      <c r="F253" s="2" t="s">
        <v>20</v>
      </c>
      <c r="G253" s="2">
        <v>10</v>
      </c>
      <c r="H253" s="2">
        <v>486</v>
      </c>
      <c r="I253" s="2">
        <v>799</v>
      </c>
      <c r="J253" s="2">
        <v>60.8</v>
      </c>
    </row>
    <row r="254" spans="6:10">
      <c r="F254" s="2" t="s">
        <v>20</v>
      </c>
      <c r="G254" s="2">
        <v>11</v>
      </c>
      <c r="H254" s="2">
        <v>462</v>
      </c>
      <c r="I254" s="2">
        <v>799</v>
      </c>
      <c r="J254" s="2">
        <v>57.8</v>
      </c>
    </row>
    <row r="255" spans="6:10">
      <c r="F255" s="2" t="s">
        <v>20</v>
      </c>
      <c r="G255" s="2">
        <v>12</v>
      </c>
      <c r="H255" s="2">
        <v>443</v>
      </c>
      <c r="I255" s="2">
        <v>799</v>
      </c>
      <c r="J255" s="2">
        <v>55.4</v>
      </c>
    </row>
    <row r="256" spans="6:10">
      <c r="F256" s="2" t="s">
        <v>21</v>
      </c>
      <c r="G256" s="2">
        <v>0</v>
      </c>
      <c r="H256" s="2">
        <v>724</v>
      </c>
      <c r="I256" s="2">
        <v>857</v>
      </c>
      <c r="J256" s="2">
        <v>84.5</v>
      </c>
    </row>
    <row r="257" spans="6:10">
      <c r="F257" s="2" t="s">
        <v>21</v>
      </c>
      <c r="G257" s="2">
        <v>1</v>
      </c>
      <c r="H257" s="2">
        <v>803</v>
      </c>
      <c r="I257" s="2">
        <v>857</v>
      </c>
      <c r="J257" s="2">
        <v>93.7</v>
      </c>
    </row>
    <row r="258" spans="6:10">
      <c r="F258" s="2" t="s">
        <v>21</v>
      </c>
      <c r="G258" s="2">
        <v>2</v>
      </c>
      <c r="H258" s="2">
        <v>758</v>
      </c>
      <c r="I258" s="2">
        <v>857</v>
      </c>
      <c r="J258" s="2">
        <v>88.4</v>
      </c>
    </row>
    <row r="259" spans="6:10">
      <c r="F259" s="2" t="s">
        <v>21</v>
      </c>
      <c r="G259" s="2">
        <v>3</v>
      </c>
      <c r="H259" s="2">
        <v>725</v>
      </c>
      <c r="I259" s="2">
        <v>857</v>
      </c>
      <c r="J259" s="2">
        <v>84.6</v>
      </c>
    </row>
    <row r="260" spans="6:10">
      <c r="F260" s="2" t="s">
        <v>21</v>
      </c>
      <c r="G260" s="2">
        <v>4</v>
      </c>
      <c r="H260" s="2">
        <v>695</v>
      </c>
      <c r="I260" s="2">
        <v>857</v>
      </c>
      <c r="J260" s="2">
        <v>81.099999999999994</v>
      </c>
    </row>
    <row r="261" spans="6:10">
      <c r="F261" s="2" t="s">
        <v>21</v>
      </c>
      <c r="G261" s="2">
        <v>5</v>
      </c>
      <c r="H261" s="2">
        <v>655</v>
      </c>
      <c r="I261" s="2">
        <v>857</v>
      </c>
      <c r="J261" s="2">
        <v>76.400000000000006</v>
      </c>
    </row>
    <row r="262" spans="6:10">
      <c r="F262" s="2" t="s">
        <v>21</v>
      </c>
      <c r="G262" s="2">
        <v>6</v>
      </c>
      <c r="H262" s="2">
        <v>618</v>
      </c>
      <c r="I262" s="2">
        <v>857</v>
      </c>
      <c r="J262" s="2">
        <v>72.099999999999994</v>
      </c>
    </row>
    <row r="263" spans="6:10">
      <c r="F263" s="2" t="s">
        <v>21</v>
      </c>
      <c r="G263" s="2">
        <v>7</v>
      </c>
      <c r="H263" s="2">
        <v>580</v>
      </c>
      <c r="I263" s="2">
        <v>857</v>
      </c>
      <c r="J263" s="2">
        <v>67.7</v>
      </c>
    </row>
    <row r="264" spans="6:10">
      <c r="F264" s="2" t="s">
        <v>21</v>
      </c>
      <c r="G264" s="2">
        <v>8</v>
      </c>
      <c r="H264" s="2">
        <v>551</v>
      </c>
      <c r="I264" s="2">
        <v>857</v>
      </c>
      <c r="J264" s="2">
        <v>64.3</v>
      </c>
    </row>
    <row r="265" spans="6:10">
      <c r="F265" s="2" t="s">
        <v>21</v>
      </c>
      <c r="G265" s="2">
        <v>9</v>
      </c>
      <c r="H265" s="2">
        <v>514</v>
      </c>
      <c r="I265" s="2">
        <v>857</v>
      </c>
      <c r="J265" s="2">
        <v>60</v>
      </c>
    </row>
    <row r="266" spans="6:10">
      <c r="F266" s="2" t="s">
        <v>21</v>
      </c>
      <c r="G266" s="2">
        <v>10</v>
      </c>
      <c r="H266" s="2">
        <v>487</v>
      </c>
      <c r="I266" s="2">
        <v>857</v>
      </c>
      <c r="J266" s="2">
        <v>56.8</v>
      </c>
    </row>
    <row r="267" spans="6:10">
      <c r="F267" s="2" t="s">
        <v>21</v>
      </c>
      <c r="G267" s="2">
        <v>11</v>
      </c>
      <c r="H267" s="2">
        <v>464</v>
      </c>
      <c r="I267" s="2">
        <v>857</v>
      </c>
      <c r="J267" s="2">
        <v>54.1</v>
      </c>
    </row>
    <row r="268" spans="6:10">
      <c r="F268" s="2" t="s">
        <v>21</v>
      </c>
      <c r="G268" s="2">
        <v>12</v>
      </c>
      <c r="H268" s="2">
        <v>445</v>
      </c>
      <c r="I268" s="2">
        <v>857</v>
      </c>
      <c r="J268" s="2">
        <v>51.9</v>
      </c>
    </row>
    <row r="269" spans="6:10">
      <c r="F269" s="2" t="s">
        <v>22</v>
      </c>
      <c r="G269" s="2">
        <v>0</v>
      </c>
      <c r="H269" s="2">
        <v>652</v>
      </c>
      <c r="I269" s="2">
        <v>780</v>
      </c>
      <c r="J269" s="2">
        <v>83.6</v>
      </c>
    </row>
    <row r="270" spans="6:10">
      <c r="F270" s="2" t="s">
        <v>22</v>
      </c>
      <c r="G270" s="2">
        <v>1</v>
      </c>
      <c r="H270" s="2">
        <v>729</v>
      </c>
      <c r="I270" s="2">
        <v>780</v>
      </c>
      <c r="J270" s="2">
        <v>93.5</v>
      </c>
    </row>
    <row r="271" spans="6:10">
      <c r="F271" s="2" t="s">
        <v>22</v>
      </c>
      <c r="G271" s="2">
        <v>2</v>
      </c>
      <c r="H271" s="2">
        <v>684</v>
      </c>
      <c r="I271" s="2">
        <v>780</v>
      </c>
      <c r="J271" s="2">
        <v>87.7</v>
      </c>
    </row>
    <row r="272" spans="6:10">
      <c r="F272" s="2" t="s">
        <v>22</v>
      </c>
      <c r="G272" s="2">
        <v>3</v>
      </c>
      <c r="H272" s="2">
        <v>656</v>
      </c>
      <c r="I272" s="2">
        <v>780</v>
      </c>
      <c r="J272" s="2">
        <v>84.1</v>
      </c>
    </row>
    <row r="273" spans="6:10">
      <c r="F273" s="2" t="s">
        <v>22</v>
      </c>
      <c r="G273" s="2">
        <v>4</v>
      </c>
      <c r="H273" s="2">
        <v>630</v>
      </c>
      <c r="I273" s="2">
        <v>780</v>
      </c>
      <c r="J273" s="2">
        <v>80.8</v>
      </c>
    </row>
    <row r="274" spans="6:10">
      <c r="F274" s="2" t="s">
        <v>22</v>
      </c>
      <c r="G274" s="2">
        <v>5</v>
      </c>
      <c r="H274" s="2">
        <v>591</v>
      </c>
      <c r="I274" s="2">
        <v>780</v>
      </c>
      <c r="J274" s="2">
        <v>75.8</v>
      </c>
    </row>
    <row r="275" spans="6:10">
      <c r="F275" s="2" t="s">
        <v>22</v>
      </c>
      <c r="G275" s="2">
        <v>6</v>
      </c>
      <c r="H275" s="2">
        <v>553</v>
      </c>
      <c r="I275" s="2">
        <v>780</v>
      </c>
      <c r="J275" s="2">
        <v>70.900000000000006</v>
      </c>
    </row>
    <row r="276" spans="6:10">
      <c r="F276" s="2" t="s">
        <v>22</v>
      </c>
      <c r="G276" s="2">
        <v>7</v>
      </c>
      <c r="H276" s="2">
        <v>531</v>
      </c>
      <c r="I276" s="2">
        <v>780</v>
      </c>
      <c r="J276" s="2">
        <v>68.099999999999994</v>
      </c>
    </row>
    <row r="277" spans="6:10">
      <c r="F277" s="2" t="s">
        <v>22</v>
      </c>
      <c r="G277" s="2">
        <v>8</v>
      </c>
      <c r="H277" s="2">
        <v>506</v>
      </c>
      <c r="I277" s="2">
        <v>780</v>
      </c>
      <c r="J277" s="2">
        <v>64.900000000000006</v>
      </c>
    </row>
    <row r="278" spans="6:10">
      <c r="F278" s="2" t="s">
        <v>22</v>
      </c>
      <c r="G278" s="2">
        <v>9</v>
      </c>
      <c r="H278" s="2">
        <v>485</v>
      </c>
      <c r="I278" s="2">
        <v>780</v>
      </c>
      <c r="J278" s="2">
        <v>62.2</v>
      </c>
    </row>
    <row r="279" spans="6:10">
      <c r="F279" s="2" t="s">
        <v>22</v>
      </c>
      <c r="G279" s="2">
        <v>10</v>
      </c>
      <c r="H279" s="2">
        <v>458</v>
      </c>
      <c r="I279" s="2">
        <v>780</v>
      </c>
      <c r="J279" s="2">
        <v>58.7</v>
      </c>
    </row>
    <row r="280" spans="6:10">
      <c r="F280" s="2" t="s">
        <v>22</v>
      </c>
      <c r="G280" s="2">
        <v>11</v>
      </c>
      <c r="H280" s="2">
        <v>436</v>
      </c>
      <c r="I280" s="2">
        <v>780</v>
      </c>
      <c r="J280" s="2">
        <v>55.9</v>
      </c>
    </row>
    <row r="281" spans="6:10">
      <c r="F281" s="2" t="s">
        <v>22</v>
      </c>
      <c r="G281" s="2">
        <v>12</v>
      </c>
      <c r="H281" s="2">
        <v>419</v>
      </c>
      <c r="I281" s="2">
        <v>780</v>
      </c>
      <c r="J281" s="2">
        <v>53.7</v>
      </c>
    </row>
    <row r="282" spans="6:10">
      <c r="F282" s="2" t="s">
        <v>23</v>
      </c>
      <c r="G282" s="2">
        <v>0</v>
      </c>
      <c r="H282" s="2">
        <v>729</v>
      </c>
      <c r="I282" s="2">
        <v>845</v>
      </c>
      <c r="J282" s="2">
        <v>86.3</v>
      </c>
    </row>
    <row r="283" spans="6:10">
      <c r="F283" s="2" t="s">
        <v>23</v>
      </c>
      <c r="G283" s="2">
        <v>1</v>
      </c>
      <c r="H283" s="2">
        <v>801</v>
      </c>
      <c r="I283" s="2">
        <v>845</v>
      </c>
      <c r="J283" s="2">
        <v>94.8</v>
      </c>
    </row>
    <row r="284" spans="6:10">
      <c r="F284" s="2" t="s">
        <v>23</v>
      </c>
      <c r="G284" s="2">
        <v>2</v>
      </c>
      <c r="H284" s="2">
        <v>758</v>
      </c>
      <c r="I284" s="2">
        <v>845</v>
      </c>
      <c r="J284" s="2">
        <v>89.7</v>
      </c>
    </row>
    <row r="285" spans="6:10">
      <c r="F285" s="2" t="s">
        <v>23</v>
      </c>
      <c r="G285" s="2">
        <v>3</v>
      </c>
      <c r="H285" s="2">
        <v>714</v>
      </c>
      <c r="I285" s="2">
        <v>845</v>
      </c>
      <c r="J285" s="2">
        <v>84.5</v>
      </c>
    </row>
    <row r="286" spans="6:10">
      <c r="F286" s="2" t="s">
        <v>23</v>
      </c>
      <c r="G286" s="2">
        <v>4</v>
      </c>
      <c r="H286" s="2">
        <v>684</v>
      </c>
      <c r="I286" s="2">
        <v>845</v>
      </c>
      <c r="J286" s="2">
        <v>80.900000000000006</v>
      </c>
    </row>
    <row r="287" spans="6:10">
      <c r="F287" s="2" t="s">
        <v>23</v>
      </c>
      <c r="G287" s="2">
        <v>5</v>
      </c>
      <c r="H287" s="2">
        <v>653</v>
      </c>
      <c r="I287" s="2">
        <v>845</v>
      </c>
      <c r="J287" s="2">
        <v>77.3</v>
      </c>
    </row>
    <row r="288" spans="6:10">
      <c r="F288" s="2" t="s">
        <v>23</v>
      </c>
      <c r="G288" s="2">
        <v>6</v>
      </c>
      <c r="H288" s="2">
        <v>610</v>
      </c>
      <c r="I288" s="2">
        <v>845</v>
      </c>
      <c r="J288" s="2">
        <v>72.2</v>
      </c>
    </row>
    <row r="289" spans="6:10">
      <c r="F289" s="2" t="s">
        <v>23</v>
      </c>
      <c r="G289" s="2">
        <v>7</v>
      </c>
      <c r="H289" s="2">
        <v>576</v>
      </c>
      <c r="I289" s="2">
        <v>845</v>
      </c>
      <c r="J289" s="2">
        <v>68.2</v>
      </c>
    </row>
    <row r="290" spans="6:10">
      <c r="F290" s="2" t="s">
        <v>23</v>
      </c>
      <c r="G290" s="2">
        <v>8</v>
      </c>
      <c r="H290" s="2">
        <v>554</v>
      </c>
      <c r="I290" s="2">
        <v>845</v>
      </c>
      <c r="J290" s="2">
        <v>65.599999999999994</v>
      </c>
    </row>
    <row r="291" spans="6:10">
      <c r="F291" s="2" t="s">
        <v>23</v>
      </c>
      <c r="G291" s="2">
        <v>9</v>
      </c>
      <c r="H291" s="2">
        <v>533</v>
      </c>
      <c r="I291" s="2">
        <v>845</v>
      </c>
      <c r="J291" s="2">
        <v>63.1</v>
      </c>
    </row>
    <row r="292" spans="6:10">
      <c r="F292" s="2" t="s">
        <v>23</v>
      </c>
      <c r="G292" s="2">
        <v>10</v>
      </c>
      <c r="H292" s="2">
        <v>504</v>
      </c>
      <c r="I292" s="2">
        <v>845</v>
      </c>
      <c r="J292" s="2">
        <v>59.6</v>
      </c>
    </row>
    <row r="293" spans="6:10">
      <c r="F293" s="2" t="s">
        <v>23</v>
      </c>
      <c r="G293" s="2">
        <v>11</v>
      </c>
      <c r="H293" s="2">
        <v>490</v>
      </c>
      <c r="I293" s="2">
        <v>845</v>
      </c>
      <c r="J293" s="2">
        <v>58</v>
      </c>
    </row>
    <row r="294" spans="6:10">
      <c r="F294" s="2" t="s">
        <v>23</v>
      </c>
      <c r="G294" s="2">
        <v>12</v>
      </c>
      <c r="H294" s="2">
        <v>473</v>
      </c>
      <c r="I294" s="2">
        <v>845</v>
      </c>
      <c r="J294" s="2">
        <v>56</v>
      </c>
    </row>
    <row r="295" spans="6:10">
      <c r="F295" s="2" t="s">
        <v>24</v>
      </c>
      <c r="G295" s="2">
        <v>0</v>
      </c>
      <c r="H295" s="2">
        <v>696</v>
      </c>
      <c r="I295" s="2">
        <v>807</v>
      </c>
      <c r="J295" s="2">
        <v>86.2</v>
      </c>
    </row>
    <row r="296" spans="6:10">
      <c r="F296" s="2" t="s">
        <v>24</v>
      </c>
      <c r="G296" s="2">
        <v>1</v>
      </c>
      <c r="H296" s="2">
        <v>760</v>
      </c>
      <c r="I296" s="2">
        <v>807</v>
      </c>
      <c r="J296" s="2">
        <v>94.2</v>
      </c>
    </row>
    <row r="297" spans="6:10">
      <c r="F297" s="2" t="s">
        <v>24</v>
      </c>
      <c r="G297" s="2">
        <v>2</v>
      </c>
      <c r="H297" s="2">
        <v>717</v>
      </c>
      <c r="I297" s="2">
        <v>807</v>
      </c>
      <c r="J297" s="2">
        <v>88.8</v>
      </c>
    </row>
    <row r="298" spans="6:10">
      <c r="F298" s="2" t="s">
        <v>24</v>
      </c>
      <c r="G298" s="2">
        <v>3</v>
      </c>
      <c r="H298" s="2">
        <v>669</v>
      </c>
      <c r="I298" s="2">
        <v>807</v>
      </c>
      <c r="J298" s="2">
        <v>82.9</v>
      </c>
    </row>
    <row r="299" spans="6:10">
      <c r="F299" s="2" t="s">
        <v>24</v>
      </c>
      <c r="G299" s="2">
        <v>4</v>
      </c>
      <c r="H299" s="2">
        <v>636</v>
      </c>
      <c r="I299" s="2">
        <v>807</v>
      </c>
      <c r="J299" s="2">
        <v>78.8</v>
      </c>
    </row>
    <row r="300" spans="6:10">
      <c r="F300" s="2" t="s">
        <v>24</v>
      </c>
      <c r="G300" s="2">
        <v>5</v>
      </c>
      <c r="H300" s="2">
        <v>605</v>
      </c>
      <c r="I300" s="2">
        <v>807</v>
      </c>
      <c r="J300" s="2">
        <v>75</v>
      </c>
    </row>
    <row r="301" spans="6:10">
      <c r="F301" s="2" t="s">
        <v>24</v>
      </c>
      <c r="G301" s="2">
        <v>6</v>
      </c>
      <c r="H301" s="2">
        <v>574</v>
      </c>
      <c r="I301" s="2">
        <v>807</v>
      </c>
      <c r="J301" s="2">
        <v>71.099999999999994</v>
      </c>
    </row>
    <row r="302" spans="6:10">
      <c r="F302" s="2" t="s">
        <v>24</v>
      </c>
      <c r="G302" s="2">
        <v>7</v>
      </c>
      <c r="H302" s="2">
        <v>557</v>
      </c>
      <c r="I302" s="2">
        <v>807</v>
      </c>
      <c r="J302" s="2">
        <v>69</v>
      </c>
    </row>
    <row r="303" spans="6:10">
      <c r="F303" s="2" t="s">
        <v>24</v>
      </c>
      <c r="G303" s="2">
        <v>8</v>
      </c>
      <c r="H303" s="2">
        <v>525</v>
      </c>
      <c r="I303" s="2">
        <v>807</v>
      </c>
      <c r="J303" s="2">
        <v>65.099999999999994</v>
      </c>
    </row>
    <row r="304" spans="6:10">
      <c r="F304" s="2" t="s">
        <v>24</v>
      </c>
      <c r="G304" s="2">
        <v>9</v>
      </c>
      <c r="H304" s="2">
        <v>495</v>
      </c>
      <c r="I304" s="2">
        <v>807</v>
      </c>
      <c r="J304" s="2">
        <v>61.3</v>
      </c>
    </row>
    <row r="305" spans="6:10">
      <c r="F305" s="2" t="s">
        <v>24</v>
      </c>
      <c r="G305" s="2">
        <v>10</v>
      </c>
      <c r="H305" s="2">
        <v>481</v>
      </c>
      <c r="I305" s="2">
        <v>807</v>
      </c>
      <c r="J305" s="2">
        <v>59.6</v>
      </c>
    </row>
    <row r="306" spans="6:10">
      <c r="F306" s="2" t="s">
        <v>24</v>
      </c>
      <c r="G306" s="2">
        <v>11</v>
      </c>
      <c r="H306" s="2">
        <v>449</v>
      </c>
      <c r="I306" s="2">
        <v>807</v>
      </c>
      <c r="J306" s="2">
        <v>55.6</v>
      </c>
    </row>
    <row r="307" spans="6:10">
      <c r="F307" s="2" t="s">
        <v>24</v>
      </c>
      <c r="G307" s="2">
        <v>12</v>
      </c>
      <c r="H307" s="2">
        <v>433</v>
      </c>
      <c r="I307" s="2">
        <v>807</v>
      </c>
      <c r="J307" s="2">
        <v>53.7</v>
      </c>
    </row>
    <row r="308" spans="6:10">
      <c r="F308" s="2" t="s">
        <v>25</v>
      </c>
      <c r="G308" s="2">
        <v>0</v>
      </c>
      <c r="H308" s="2">
        <v>742</v>
      </c>
      <c r="I308" s="2">
        <v>847</v>
      </c>
      <c r="J308" s="2">
        <v>87.6</v>
      </c>
    </row>
    <row r="309" spans="6:10">
      <c r="F309" s="2" t="s">
        <v>25</v>
      </c>
      <c r="G309" s="2">
        <v>1</v>
      </c>
      <c r="H309" s="2">
        <v>811</v>
      </c>
      <c r="I309" s="2">
        <v>847</v>
      </c>
      <c r="J309" s="2">
        <v>95.7</v>
      </c>
    </row>
    <row r="310" spans="6:10">
      <c r="F310" s="2" t="s">
        <v>25</v>
      </c>
      <c r="G310" s="2">
        <v>2</v>
      </c>
      <c r="H310" s="2">
        <v>768</v>
      </c>
      <c r="I310" s="2">
        <v>847</v>
      </c>
      <c r="J310" s="2">
        <v>90.7</v>
      </c>
    </row>
    <row r="311" spans="6:10">
      <c r="F311" s="2" t="s">
        <v>25</v>
      </c>
      <c r="G311" s="2">
        <v>3</v>
      </c>
      <c r="H311" s="2">
        <v>736</v>
      </c>
      <c r="I311" s="2">
        <v>847</v>
      </c>
      <c r="J311" s="2">
        <v>86.9</v>
      </c>
    </row>
    <row r="312" spans="6:10">
      <c r="F312" s="2" t="s">
        <v>25</v>
      </c>
      <c r="G312" s="2">
        <v>4</v>
      </c>
      <c r="H312" s="2">
        <v>702</v>
      </c>
      <c r="I312" s="2">
        <v>847</v>
      </c>
      <c r="J312" s="2">
        <v>82.9</v>
      </c>
    </row>
    <row r="313" spans="6:10">
      <c r="F313" s="2" t="s">
        <v>25</v>
      </c>
      <c r="G313" s="2">
        <v>5</v>
      </c>
      <c r="H313" s="2">
        <v>665</v>
      </c>
      <c r="I313" s="2">
        <v>847</v>
      </c>
      <c r="J313" s="2">
        <v>78.5</v>
      </c>
    </row>
    <row r="314" spans="6:10">
      <c r="F314" s="2" t="s">
        <v>25</v>
      </c>
      <c r="G314" s="2">
        <v>6</v>
      </c>
      <c r="H314" s="2">
        <v>632</v>
      </c>
      <c r="I314" s="2">
        <v>847</v>
      </c>
      <c r="J314" s="2">
        <v>74.599999999999994</v>
      </c>
    </row>
    <row r="315" spans="6:10">
      <c r="F315" s="2" t="s">
        <v>25</v>
      </c>
      <c r="G315" s="2">
        <v>7</v>
      </c>
      <c r="H315" s="2">
        <v>612</v>
      </c>
      <c r="I315" s="2">
        <v>847</v>
      </c>
      <c r="J315" s="2">
        <v>72.3</v>
      </c>
    </row>
    <row r="316" spans="6:10">
      <c r="F316" s="2" t="s">
        <v>25</v>
      </c>
      <c r="G316" s="2">
        <v>8</v>
      </c>
      <c r="H316" s="2">
        <v>582</v>
      </c>
      <c r="I316" s="2">
        <v>847</v>
      </c>
      <c r="J316" s="2">
        <v>68.7</v>
      </c>
    </row>
    <row r="317" spans="6:10">
      <c r="F317" s="2" t="s">
        <v>25</v>
      </c>
      <c r="G317" s="2">
        <v>9</v>
      </c>
      <c r="H317" s="2">
        <v>543</v>
      </c>
      <c r="I317" s="2">
        <v>847</v>
      </c>
      <c r="J317" s="2">
        <v>64.099999999999994</v>
      </c>
    </row>
    <row r="318" spans="6:10">
      <c r="F318" s="2" t="s">
        <v>25</v>
      </c>
      <c r="G318" s="2">
        <v>10</v>
      </c>
      <c r="H318" s="2">
        <v>518</v>
      </c>
      <c r="I318" s="2">
        <v>847</v>
      </c>
      <c r="J318" s="2">
        <v>61.2</v>
      </c>
    </row>
    <row r="319" spans="6:10">
      <c r="F319" s="2" t="s">
        <v>25</v>
      </c>
      <c r="G319" s="2">
        <v>11</v>
      </c>
      <c r="H319" s="2">
        <v>494</v>
      </c>
      <c r="I319" s="2">
        <v>847</v>
      </c>
      <c r="J319" s="2">
        <v>58.3</v>
      </c>
    </row>
    <row r="320" spans="6:10">
      <c r="F320" s="2" t="s">
        <v>25</v>
      </c>
      <c r="G320" s="2">
        <v>12</v>
      </c>
      <c r="H320" s="2">
        <v>472</v>
      </c>
      <c r="I320" s="2">
        <v>847</v>
      </c>
      <c r="J320" s="2">
        <v>55.7</v>
      </c>
    </row>
    <row r="321" spans="6:10">
      <c r="F321" s="2" t="s">
        <v>26</v>
      </c>
      <c r="G321" s="2">
        <v>0</v>
      </c>
      <c r="H321" s="2">
        <v>739</v>
      </c>
      <c r="I321" s="2">
        <v>874</v>
      </c>
      <c r="J321" s="2">
        <v>84.6</v>
      </c>
    </row>
    <row r="322" spans="6:10">
      <c r="F322" s="2" t="s">
        <v>26</v>
      </c>
      <c r="G322" s="2">
        <v>1</v>
      </c>
      <c r="H322" s="2">
        <v>819</v>
      </c>
      <c r="I322" s="2">
        <v>874</v>
      </c>
      <c r="J322" s="2">
        <v>93.7</v>
      </c>
    </row>
    <row r="323" spans="6:10">
      <c r="F323" s="2" t="s">
        <v>26</v>
      </c>
      <c r="G323" s="2">
        <v>2</v>
      </c>
      <c r="H323" s="2">
        <v>771</v>
      </c>
      <c r="I323" s="2">
        <v>874</v>
      </c>
      <c r="J323" s="2">
        <v>88.2</v>
      </c>
    </row>
    <row r="324" spans="6:10">
      <c r="F324" s="2" t="s">
        <v>26</v>
      </c>
      <c r="G324" s="2">
        <v>3</v>
      </c>
      <c r="H324" s="2">
        <v>731</v>
      </c>
      <c r="I324" s="2">
        <v>874</v>
      </c>
      <c r="J324" s="2">
        <v>83.6</v>
      </c>
    </row>
    <row r="325" spans="6:10">
      <c r="F325" s="2" t="s">
        <v>26</v>
      </c>
      <c r="G325" s="2">
        <v>4</v>
      </c>
      <c r="H325" s="2">
        <v>689</v>
      </c>
      <c r="I325" s="2">
        <v>874</v>
      </c>
      <c r="J325" s="2">
        <v>78.8</v>
      </c>
    </row>
    <row r="326" spans="6:10">
      <c r="F326" s="2" t="s">
        <v>26</v>
      </c>
      <c r="G326" s="2">
        <v>5</v>
      </c>
      <c r="H326" s="2">
        <v>661</v>
      </c>
      <c r="I326" s="2">
        <v>874</v>
      </c>
      <c r="J326" s="2">
        <v>75.599999999999994</v>
      </c>
    </row>
    <row r="327" spans="6:10">
      <c r="F327" s="2" t="s">
        <v>26</v>
      </c>
      <c r="G327" s="2">
        <v>6</v>
      </c>
      <c r="H327" s="2">
        <v>623</v>
      </c>
      <c r="I327" s="2">
        <v>874</v>
      </c>
      <c r="J327" s="2">
        <v>71.3</v>
      </c>
    </row>
    <row r="328" spans="6:10">
      <c r="F328" s="2" t="s">
        <v>26</v>
      </c>
      <c r="G328" s="2">
        <v>7</v>
      </c>
      <c r="H328" s="2">
        <v>592</v>
      </c>
      <c r="I328" s="2">
        <v>874</v>
      </c>
      <c r="J328" s="2">
        <v>67.7</v>
      </c>
    </row>
    <row r="329" spans="6:10">
      <c r="F329" s="2" t="s">
        <v>26</v>
      </c>
      <c r="G329" s="2">
        <v>8</v>
      </c>
      <c r="H329" s="2">
        <v>561</v>
      </c>
      <c r="I329" s="2">
        <v>874</v>
      </c>
      <c r="J329" s="2">
        <v>64.2</v>
      </c>
    </row>
    <row r="330" spans="6:10">
      <c r="F330" s="2" t="s">
        <v>26</v>
      </c>
      <c r="G330" s="2">
        <v>9</v>
      </c>
      <c r="H330" s="2">
        <v>533</v>
      </c>
      <c r="I330" s="2">
        <v>874</v>
      </c>
      <c r="J330" s="2">
        <v>61</v>
      </c>
    </row>
    <row r="331" spans="6:10">
      <c r="F331" s="2" t="s">
        <v>26</v>
      </c>
      <c r="G331" s="2">
        <v>10</v>
      </c>
      <c r="H331" s="2">
        <v>512</v>
      </c>
      <c r="I331" s="2">
        <v>874</v>
      </c>
      <c r="J331" s="2">
        <v>58.6</v>
      </c>
    </row>
    <row r="332" spans="6:10">
      <c r="F332" s="2" t="s">
        <v>26</v>
      </c>
      <c r="G332" s="2">
        <v>11</v>
      </c>
      <c r="H332" s="2">
        <v>489</v>
      </c>
      <c r="I332" s="2">
        <v>874</v>
      </c>
      <c r="J332" s="2">
        <v>55.9</v>
      </c>
    </row>
    <row r="333" spans="6:10">
      <c r="F333" s="2" t="s">
        <v>26</v>
      </c>
      <c r="G333" s="2">
        <v>12</v>
      </c>
      <c r="H333" s="2">
        <v>463</v>
      </c>
      <c r="I333" s="2">
        <v>874</v>
      </c>
      <c r="J333" s="2">
        <v>53</v>
      </c>
    </row>
    <row r="334" spans="6:10">
      <c r="F334" s="2" t="s">
        <v>27</v>
      </c>
      <c r="G334" s="2">
        <v>0</v>
      </c>
      <c r="H334" s="2">
        <v>699</v>
      </c>
      <c r="I334" s="2">
        <v>824</v>
      </c>
      <c r="J334" s="2">
        <v>84.8</v>
      </c>
    </row>
    <row r="335" spans="6:10">
      <c r="F335" s="2" t="s">
        <v>27</v>
      </c>
      <c r="G335" s="2">
        <v>1</v>
      </c>
      <c r="H335" s="2">
        <v>777</v>
      </c>
      <c r="I335" s="2">
        <v>824</v>
      </c>
      <c r="J335" s="2">
        <v>94.3</v>
      </c>
    </row>
    <row r="336" spans="6:10">
      <c r="F336" s="2" t="s">
        <v>27</v>
      </c>
      <c r="G336" s="2">
        <v>2</v>
      </c>
      <c r="H336" s="2">
        <v>736</v>
      </c>
      <c r="I336" s="2">
        <v>824</v>
      </c>
      <c r="J336" s="2">
        <v>89.3</v>
      </c>
    </row>
    <row r="337" spans="6:10">
      <c r="F337" s="2" t="s">
        <v>27</v>
      </c>
      <c r="G337" s="2">
        <v>3</v>
      </c>
      <c r="H337" s="2">
        <v>708</v>
      </c>
      <c r="I337" s="2">
        <v>824</v>
      </c>
      <c r="J337" s="2">
        <v>85.9</v>
      </c>
    </row>
    <row r="338" spans="6:10">
      <c r="F338" s="2" t="s">
        <v>27</v>
      </c>
      <c r="G338" s="2">
        <v>4</v>
      </c>
      <c r="H338" s="2">
        <v>684</v>
      </c>
      <c r="I338" s="2">
        <v>824</v>
      </c>
      <c r="J338" s="2">
        <v>83</v>
      </c>
    </row>
    <row r="339" spans="6:10">
      <c r="F339" s="2" t="s">
        <v>27</v>
      </c>
      <c r="G339" s="2">
        <v>5</v>
      </c>
      <c r="H339" s="2">
        <v>651</v>
      </c>
      <c r="I339" s="2">
        <v>824</v>
      </c>
      <c r="J339" s="2">
        <v>79</v>
      </c>
    </row>
    <row r="340" spans="6:10">
      <c r="F340" s="2" t="s">
        <v>27</v>
      </c>
      <c r="G340" s="2">
        <v>6</v>
      </c>
      <c r="H340" s="2">
        <v>611</v>
      </c>
      <c r="I340" s="2">
        <v>824</v>
      </c>
      <c r="J340" s="2">
        <v>74.2</v>
      </c>
    </row>
    <row r="341" spans="6:10">
      <c r="F341" s="2" t="s">
        <v>27</v>
      </c>
      <c r="G341" s="2">
        <v>7</v>
      </c>
      <c r="H341" s="2">
        <v>583</v>
      </c>
      <c r="I341" s="2">
        <v>824</v>
      </c>
      <c r="J341" s="2">
        <v>70.8</v>
      </c>
    </row>
    <row r="342" spans="6:10">
      <c r="F342" s="2" t="s">
        <v>27</v>
      </c>
      <c r="G342" s="2">
        <v>8</v>
      </c>
      <c r="H342" s="2">
        <v>554</v>
      </c>
      <c r="I342" s="2">
        <v>824</v>
      </c>
      <c r="J342" s="2">
        <v>67.2</v>
      </c>
    </row>
    <row r="343" spans="6:10">
      <c r="F343" s="2" t="s">
        <v>27</v>
      </c>
      <c r="G343" s="2">
        <v>9</v>
      </c>
      <c r="H343" s="2">
        <v>526</v>
      </c>
      <c r="I343" s="2">
        <v>824</v>
      </c>
      <c r="J343" s="2">
        <v>63.8</v>
      </c>
    </row>
    <row r="344" spans="6:10">
      <c r="F344" s="2" t="s">
        <v>27</v>
      </c>
      <c r="G344" s="2">
        <v>10</v>
      </c>
      <c r="H344" s="2">
        <v>501</v>
      </c>
      <c r="I344" s="2">
        <v>824</v>
      </c>
      <c r="J344" s="2">
        <v>60.8</v>
      </c>
    </row>
    <row r="345" spans="6:10">
      <c r="F345" s="2" t="s">
        <v>27</v>
      </c>
      <c r="G345" s="2">
        <v>11</v>
      </c>
      <c r="H345" s="2">
        <v>479</v>
      </c>
      <c r="I345" s="2">
        <v>824</v>
      </c>
      <c r="J345" s="2">
        <v>58.1</v>
      </c>
    </row>
    <row r="346" spans="6:10">
      <c r="F346" s="2" t="s">
        <v>27</v>
      </c>
      <c r="G346" s="2">
        <v>12</v>
      </c>
      <c r="H346" s="2">
        <v>451</v>
      </c>
      <c r="I346" s="2">
        <v>824</v>
      </c>
      <c r="J346" s="2">
        <v>54.7</v>
      </c>
    </row>
    <row r="347" spans="6:10">
      <c r="F347" s="2" t="s">
        <v>28</v>
      </c>
      <c r="G347" s="2">
        <v>0</v>
      </c>
      <c r="H347" s="2">
        <v>665</v>
      </c>
      <c r="I347" s="2">
        <v>769</v>
      </c>
      <c r="J347" s="2">
        <v>86.5</v>
      </c>
    </row>
    <row r="348" spans="6:10">
      <c r="F348" s="2" t="s">
        <v>28</v>
      </c>
      <c r="G348" s="2">
        <v>1</v>
      </c>
      <c r="H348" s="2">
        <v>729</v>
      </c>
      <c r="I348" s="2">
        <v>769</v>
      </c>
      <c r="J348" s="2">
        <v>94.8</v>
      </c>
    </row>
    <row r="349" spans="6:10">
      <c r="F349" s="2" t="s">
        <v>28</v>
      </c>
      <c r="G349" s="2">
        <v>2</v>
      </c>
      <c r="H349" s="2">
        <v>690</v>
      </c>
      <c r="I349" s="2">
        <v>769</v>
      </c>
      <c r="J349" s="2">
        <v>89.7</v>
      </c>
    </row>
    <row r="350" spans="6:10">
      <c r="F350" s="2" t="s">
        <v>28</v>
      </c>
      <c r="G350" s="2">
        <v>3</v>
      </c>
      <c r="H350" s="2">
        <v>650</v>
      </c>
      <c r="I350" s="2">
        <v>769</v>
      </c>
      <c r="J350" s="2">
        <v>84.5</v>
      </c>
    </row>
    <row r="351" spans="6:10">
      <c r="F351" s="2" t="s">
        <v>28</v>
      </c>
      <c r="G351" s="2">
        <v>4</v>
      </c>
      <c r="H351" s="2">
        <v>615</v>
      </c>
      <c r="I351" s="2">
        <v>769</v>
      </c>
      <c r="J351" s="2">
        <v>80</v>
      </c>
    </row>
    <row r="352" spans="6:10">
      <c r="F352" s="2" t="s">
        <v>28</v>
      </c>
      <c r="G352" s="2">
        <v>5</v>
      </c>
      <c r="H352" s="2">
        <v>588</v>
      </c>
      <c r="I352" s="2">
        <v>769</v>
      </c>
      <c r="J352" s="2">
        <v>76.5</v>
      </c>
    </row>
    <row r="353" spans="6:10">
      <c r="F353" s="2" t="s">
        <v>28</v>
      </c>
      <c r="G353" s="2">
        <v>6</v>
      </c>
      <c r="H353" s="2">
        <v>562</v>
      </c>
      <c r="I353" s="2">
        <v>769</v>
      </c>
      <c r="J353" s="2">
        <v>73.099999999999994</v>
      </c>
    </row>
    <row r="354" spans="6:10">
      <c r="F354" s="2" t="s">
        <v>28</v>
      </c>
      <c r="G354" s="2">
        <v>7</v>
      </c>
      <c r="H354" s="2">
        <v>536</v>
      </c>
      <c r="I354" s="2">
        <v>769</v>
      </c>
      <c r="J354" s="2">
        <v>69.7</v>
      </c>
    </row>
    <row r="355" spans="6:10">
      <c r="F355" s="2" t="s">
        <v>28</v>
      </c>
      <c r="G355" s="2">
        <v>8</v>
      </c>
      <c r="H355" s="2">
        <v>518</v>
      </c>
      <c r="I355" s="2">
        <v>769</v>
      </c>
      <c r="J355" s="2">
        <v>67.400000000000006</v>
      </c>
    </row>
    <row r="356" spans="6:10">
      <c r="F356" s="2" t="s">
        <v>28</v>
      </c>
      <c r="G356" s="2">
        <v>9</v>
      </c>
      <c r="H356" s="2">
        <v>497</v>
      </c>
      <c r="I356" s="2">
        <v>769</v>
      </c>
      <c r="J356" s="2">
        <v>64.599999999999994</v>
      </c>
    </row>
    <row r="357" spans="6:10">
      <c r="F357" s="2" t="s">
        <v>28</v>
      </c>
      <c r="G357" s="2">
        <v>10</v>
      </c>
      <c r="H357" s="2">
        <v>468</v>
      </c>
      <c r="I357" s="2">
        <v>769</v>
      </c>
      <c r="J357" s="2">
        <v>60.9</v>
      </c>
    </row>
    <row r="358" spans="6:10">
      <c r="F358" s="2" t="s">
        <v>28</v>
      </c>
      <c r="G358" s="2">
        <v>11</v>
      </c>
      <c r="H358" s="2">
        <v>450</v>
      </c>
      <c r="I358" s="2">
        <v>769</v>
      </c>
      <c r="J358" s="2">
        <v>58.5</v>
      </c>
    </row>
    <row r="359" spans="6:10">
      <c r="F359" s="2" t="s">
        <v>28</v>
      </c>
      <c r="G359" s="2">
        <v>12</v>
      </c>
      <c r="H359" s="2">
        <v>430</v>
      </c>
      <c r="I359" s="2">
        <v>769</v>
      </c>
      <c r="J359" s="2">
        <v>55.9</v>
      </c>
    </row>
    <row r="360" spans="6:10">
      <c r="F360" s="2" t="s">
        <v>29</v>
      </c>
      <c r="G360" s="2">
        <v>0</v>
      </c>
      <c r="H360" s="2">
        <v>689</v>
      </c>
      <c r="I360" s="2">
        <v>809</v>
      </c>
      <c r="J360" s="2">
        <v>85.2</v>
      </c>
    </row>
    <row r="361" spans="6:10">
      <c r="F361" s="2" t="s">
        <v>29</v>
      </c>
      <c r="G361" s="2">
        <v>1</v>
      </c>
      <c r="H361" s="2">
        <v>759</v>
      </c>
      <c r="I361" s="2">
        <v>809</v>
      </c>
      <c r="J361" s="2">
        <v>93.8</v>
      </c>
    </row>
    <row r="362" spans="6:10">
      <c r="F362" s="2" t="s">
        <v>29</v>
      </c>
      <c r="G362" s="2">
        <v>2</v>
      </c>
      <c r="H362" s="2">
        <v>722</v>
      </c>
      <c r="I362" s="2">
        <v>809</v>
      </c>
      <c r="J362" s="2">
        <v>89.2</v>
      </c>
    </row>
    <row r="363" spans="6:10">
      <c r="F363" s="2" t="s">
        <v>29</v>
      </c>
      <c r="G363" s="2">
        <v>3</v>
      </c>
      <c r="H363" s="2">
        <v>664</v>
      </c>
      <c r="I363" s="2">
        <v>809</v>
      </c>
      <c r="J363" s="2">
        <v>82.1</v>
      </c>
    </row>
    <row r="364" spans="6:10">
      <c r="F364" s="2" t="s">
        <v>29</v>
      </c>
      <c r="G364" s="2">
        <v>4</v>
      </c>
      <c r="H364" s="2">
        <v>630</v>
      </c>
      <c r="I364" s="2">
        <v>809</v>
      </c>
      <c r="J364" s="2">
        <v>77.900000000000006</v>
      </c>
    </row>
    <row r="365" spans="6:10">
      <c r="F365" s="2" t="s">
        <v>29</v>
      </c>
      <c r="G365" s="2">
        <v>5</v>
      </c>
      <c r="H365" s="2">
        <v>605</v>
      </c>
      <c r="I365" s="2">
        <v>809</v>
      </c>
      <c r="J365" s="2">
        <v>74.8</v>
      </c>
    </row>
    <row r="366" spans="6:10">
      <c r="F366" s="2" t="s">
        <v>29</v>
      </c>
      <c r="G366" s="2">
        <v>6</v>
      </c>
      <c r="H366" s="2">
        <v>577</v>
      </c>
      <c r="I366" s="2">
        <v>809</v>
      </c>
      <c r="J366" s="2">
        <v>71.3</v>
      </c>
    </row>
    <row r="367" spans="6:10">
      <c r="F367" s="2" t="s">
        <v>29</v>
      </c>
      <c r="G367" s="2">
        <v>7</v>
      </c>
      <c r="H367" s="2">
        <v>551</v>
      </c>
      <c r="I367" s="2">
        <v>809</v>
      </c>
      <c r="J367" s="2">
        <v>68.099999999999994</v>
      </c>
    </row>
    <row r="368" spans="6:10">
      <c r="F368" s="2" t="s">
        <v>29</v>
      </c>
      <c r="G368" s="2">
        <v>8</v>
      </c>
      <c r="H368" s="2">
        <v>526</v>
      </c>
      <c r="I368" s="2">
        <v>809</v>
      </c>
      <c r="J368" s="2">
        <v>65</v>
      </c>
    </row>
    <row r="369" spans="6:10">
      <c r="F369" s="2" t="s">
        <v>29</v>
      </c>
      <c r="G369" s="2">
        <v>9</v>
      </c>
      <c r="H369" s="2">
        <v>502</v>
      </c>
      <c r="I369" s="2">
        <v>809</v>
      </c>
      <c r="J369" s="2">
        <v>62.1</v>
      </c>
    </row>
    <row r="370" spans="6:10">
      <c r="F370" s="2" t="s">
        <v>29</v>
      </c>
      <c r="G370" s="2">
        <v>10</v>
      </c>
      <c r="H370" s="2">
        <v>481</v>
      </c>
      <c r="I370" s="2">
        <v>809</v>
      </c>
      <c r="J370" s="2">
        <v>59.5</v>
      </c>
    </row>
    <row r="371" spans="6:10">
      <c r="F371" s="2" t="s">
        <v>29</v>
      </c>
      <c r="G371" s="2">
        <v>11</v>
      </c>
      <c r="H371" s="2">
        <v>459</v>
      </c>
      <c r="I371" s="2">
        <v>809</v>
      </c>
      <c r="J371" s="2">
        <v>56.7</v>
      </c>
    </row>
    <row r="372" spans="6:10">
      <c r="F372" s="2" t="s">
        <v>30</v>
      </c>
      <c r="G372" s="2">
        <v>0</v>
      </c>
      <c r="H372" s="2">
        <v>704</v>
      </c>
      <c r="I372" s="2">
        <v>832</v>
      </c>
      <c r="J372" s="2">
        <v>84.6</v>
      </c>
    </row>
    <row r="373" spans="6:10">
      <c r="F373" s="2" t="s">
        <v>30</v>
      </c>
      <c r="G373" s="2">
        <v>1</v>
      </c>
      <c r="H373" s="2">
        <v>794</v>
      </c>
      <c r="I373" s="2">
        <v>832</v>
      </c>
      <c r="J373" s="2">
        <v>95.4</v>
      </c>
    </row>
    <row r="374" spans="6:10">
      <c r="F374" s="2" t="s">
        <v>30</v>
      </c>
      <c r="G374" s="2">
        <v>2</v>
      </c>
      <c r="H374" s="2">
        <v>758</v>
      </c>
      <c r="I374" s="2">
        <v>832</v>
      </c>
      <c r="J374" s="2">
        <v>91.1</v>
      </c>
    </row>
    <row r="375" spans="6:10">
      <c r="F375" s="2" t="s">
        <v>30</v>
      </c>
      <c r="G375" s="2">
        <v>3</v>
      </c>
      <c r="H375" s="2">
        <v>728</v>
      </c>
      <c r="I375" s="2">
        <v>832</v>
      </c>
      <c r="J375" s="2">
        <v>87.5</v>
      </c>
    </row>
    <row r="376" spans="6:10">
      <c r="F376" s="2" t="s">
        <v>30</v>
      </c>
      <c r="G376" s="2">
        <v>4</v>
      </c>
      <c r="H376" s="2">
        <v>697</v>
      </c>
      <c r="I376" s="2">
        <v>832</v>
      </c>
      <c r="J376" s="2">
        <v>83.8</v>
      </c>
    </row>
    <row r="377" spans="6:10">
      <c r="F377" s="2" t="s">
        <v>30</v>
      </c>
      <c r="G377" s="2">
        <v>5</v>
      </c>
      <c r="H377" s="2">
        <v>658</v>
      </c>
      <c r="I377" s="2">
        <v>832</v>
      </c>
      <c r="J377" s="2">
        <v>79.099999999999994</v>
      </c>
    </row>
    <row r="378" spans="6:10">
      <c r="F378" s="2" t="s">
        <v>30</v>
      </c>
      <c r="G378" s="2">
        <v>6</v>
      </c>
      <c r="H378" s="2">
        <v>624</v>
      </c>
      <c r="I378" s="2">
        <v>832</v>
      </c>
      <c r="J378" s="2">
        <v>75</v>
      </c>
    </row>
    <row r="379" spans="6:10">
      <c r="F379" s="2" t="s">
        <v>30</v>
      </c>
      <c r="G379" s="2">
        <v>7</v>
      </c>
      <c r="H379" s="2">
        <v>594</v>
      </c>
      <c r="I379" s="2">
        <v>832</v>
      </c>
      <c r="J379" s="2">
        <v>71.400000000000006</v>
      </c>
    </row>
    <row r="380" spans="6:10">
      <c r="F380" s="2" t="s">
        <v>30</v>
      </c>
      <c r="G380" s="2">
        <v>8</v>
      </c>
      <c r="H380" s="2">
        <v>557</v>
      </c>
      <c r="I380" s="2">
        <v>832</v>
      </c>
      <c r="J380" s="2">
        <v>66.900000000000006</v>
      </c>
    </row>
    <row r="381" spans="6:10">
      <c r="F381" s="2" t="s">
        <v>30</v>
      </c>
      <c r="G381" s="2">
        <v>9</v>
      </c>
      <c r="H381" s="2">
        <v>523</v>
      </c>
      <c r="I381" s="2">
        <v>832</v>
      </c>
      <c r="J381" s="2">
        <v>62.9</v>
      </c>
    </row>
    <row r="382" spans="6:10">
      <c r="F382" s="2" t="s">
        <v>30</v>
      </c>
      <c r="G382" s="2">
        <v>10</v>
      </c>
      <c r="H382" s="2">
        <v>497</v>
      </c>
      <c r="I382" s="2">
        <v>832</v>
      </c>
      <c r="J382" s="2">
        <v>59.7</v>
      </c>
    </row>
    <row r="383" spans="6:10">
      <c r="F383" s="2" t="s">
        <v>31</v>
      </c>
      <c r="G383" s="2">
        <v>0</v>
      </c>
      <c r="H383" s="2">
        <v>741</v>
      </c>
      <c r="I383" s="2">
        <v>900</v>
      </c>
      <c r="J383" s="2">
        <v>82.3</v>
      </c>
    </row>
    <row r="384" spans="6:10">
      <c r="F384" s="2" t="s">
        <v>31</v>
      </c>
      <c r="G384" s="2">
        <v>1</v>
      </c>
      <c r="H384" s="2">
        <v>834</v>
      </c>
      <c r="I384" s="2">
        <v>900</v>
      </c>
      <c r="J384" s="2">
        <v>92.7</v>
      </c>
    </row>
    <row r="385" spans="6:10">
      <c r="F385" s="2" t="s">
        <v>31</v>
      </c>
      <c r="G385" s="2">
        <v>2</v>
      </c>
      <c r="H385" s="2">
        <v>793</v>
      </c>
      <c r="I385" s="2">
        <v>900</v>
      </c>
      <c r="J385" s="2">
        <v>88.1</v>
      </c>
    </row>
    <row r="386" spans="6:10">
      <c r="F386" s="2" t="s">
        <v>31</v>
      </c>
      <c r="G386" s="2">
        <v>3</v>
      </c>
      <c r="H386" s="2">
        <v>754</v>
      </c>
      <c r="I386" s="2">
        <v>900</v>
      </c>
      <c r="J386" s="2">
        <v>83.8</v>
      </c>
    </row>
    <row r="387" spans="6:10">
      <c r="F387" s="2" t="s">
        <v>31</v>
      </c>
      <c r="G387" s="2">
        <v>4</v>
      </c>
      <c r="H387" s="2">
        <v>709</v>
      </c>
      <c r="I387" s="2">
        <v>900</v>
      </c>
      <c r="J387" s="2">
        <v>78.8</v>
      </c>
    </row>
    <row r="388" spans="6:10">
      <c r="F388" s="2" t="s">
        <v>31</v>
      </c>
      <c r="G388" s="2">
        <v>5</v>
      </c>
      <c r="H388" s="2">
        <v>670</v>
      </c>
      <c r="I388" s="2">
        <v>900</v>
      </c>
      <c r="J388" s="2">
        <v>74.400000000000006</v>
      </c>
    </row>
    <row r="389" spans="6:10">
      <c r="F389" s="2" t="s">
        <v>31</v>
      </c>
      <c r="G389" s="2">
        <v>6</v>
      </c>
      <c r="H389" s="2">
        <v>629</v>
      </c>
      <c r="I389" s="2">
        <v>900</v>
      </c>
      <c r="J389" s="2">
        <v>69.900000000000006</v>
      </c>
    </row>
    <row r="390" spans="6:10">
      <c r="F390" s="2" t="s">
        <v>31</v>
      </c>
      <c r="G390" s="2">
        <v>7</v>
      </c>
      <c r="H390" s="2">
        <v>603</v>
      </c>
      <c r="I390" s="2">
        <v>900</v>
      </c>
      <c r="J390" s="2">
        <v>67</v>
      </c>
    </row>
    <row r="391" spans="6:10">
      <c r="F391" s="2" t="s">
        <v>31</v>
      </c>
      <c r="G391" s="2">
        <v>8</v>
      </c>
      <c r="H391" s="2">
        <v>572</v>
      </c>
      <c r="I391" s="2">
        <v>900</v>
      </c>
      <c r="J391" s="2">
        <v>63.6</v>
      </c>
    </row>
    <row r="392" spans="6:10">
      <c r="F392" s="2" t="s">
        <v>31</v>
      </c>
      <c r="G392" s="2">
        <v>9</v>
      </c>
      <c r="H392" s="2">
        <v>539</v>
      </c>
      <c r="I392" s="2">
        <v>900</v>
      </c>
      <c r="J392" s="2">
        <v>59.9</v>
      </c>
    </row>
    <row r="393" spans="6:10">
      <c r="F393" s="2" t="s">
        <v>32</v>
      </c>
      <c r="G393" s="2">
        <v>0</v>
      </c>
      <c r="H393" s="2">
        <v>727</v>
      </c>
      <c r="I393" s="2">
        <v>845</v>
      </c>
      <c r="J393" s="2">
        <v>86</v>
      </c>
    </row>
    <row r="394" spans="6:10">
      <c r="F394" s="2" t="s">
        <v>32</v>
      </c>
      <c r="G394" s="2">
        <v>1</v>
      </c>
      <c r="H394" s="2">
        <v>792</v>
      </c>
      <c r="I394" s="2">
        <v>845</v>
      </c>
      <c r="J394" s="2">
        <v>93.7</v>
      </c>
    </row>
    <row r="395" spans="6:10">
      <c r="F395" s="2" t="s">
        <v>32</v>
      </c>
      <c r="G395" s="2">
        <v>2</v>
      </c>
      <c r="H395" s="2">
        <v>755</v>
      </c>
      <c r="I395" s="2">
        <v>845</v>
      </c>
      <c r="J395" s="2">
        <v>89.3</v>
      </c>
    </row>
    <row r="396" spans="6:10">
      <c r="F396" s="2" t="s">
        <v>32</v>
      </c>
      <c r="G396" s="2">
        <v>3</v>
      </c>
      <c r="H396" s="2">
        <v>726</v>
      </c>
      <c r="I396" s="2">
        <v>845</v>
      </c>
      <c r="J396" s="2">
        <v>85.9</v>
      </c>
    </row>
    <row r="397" spans="6:10">
      <c r="F397" s="2" t="s">
        <v>32</v>
      </c>
      <c r="G397" s="2">
        <v>4</v>
      </c>
      <c r="H397" s="2">
        <v>680</v>
      </c>
      <c r="I397" s="2">
        <v>845</v>
      </c>
      <c r="J397" s="2">
        <v>80.5</v>
      </c>
    </row>
    <row r="398" spans="6:10">
      <c r="F398" s="2" t="s">
        <v>32</v>
      </c>
      <c r="G398" s="2">
        <v>5</v>
      </c>
      <c r="H398" s="2">
        <v>643</v>
      </c>
      <c r="I398" s="2">
        <v>845</v>
      </c>
      <c r="J398" s="2">
        <v>76.099999999999994</v>
      </c>
    </row>
    <row r="399" spans="6:10">
      <c r="F399" s="2" t="s">
        <v>32</v>
      </c>
      <c r="G399" s="2">
        <v>6</v>
      </c>
      <c r="H399" s="2">
        <v>605</v>
      </c>
      <c r="I399" s="2">
        <v>845</v>
      </c>
      <c r="J399" s="2">
        <v>71.599999999999994</v>
      </c>
    </row>
    <row r="400" spans="6:10">
      <c r="F400" s="2" t="s">
        <v>32</v>
      </c>
      <c r="G400" s="2">
        <v>7</v>
      </c>
      <c r="H400" s="2">
        <v>584</v>
      </c>
      <c r="I400" s="2">
        <v>845</v>
      </c>
      <c r="J400" s="2">
        <v>69.099999999999994</v>
      </c>
    </row>
    <row r="401" spans="6:10">
      <c r="F401" s="2" t="s">
        <v>32</v>
      </c>
      <c r="G401" s="2">
        <v>8</v>
      </c>
      <c r="H401" s="2">
        <v>561</v>
      </c>
      <c r="I401" s="2">
        <v>845</v>
      </c>
      <c r="J401" s="2">
        <v>66.400000000000006</v>
      </c>
    </row>
    <row r="402" spans="6:10">
      <c r="F402" s="2" t="s">
        <v>33</v>
      </c>
      <c r="G402" s="2">
        <v>0</v>
      </c>
      <c r="H402" s="2">
        <v>742</v>
      </c>
      <c r="I402" s="2">
        <v>881</v>
      </c>
      <c r="J402" s="2">
        <v>84.2</v>
      </c>
    </row>
    <row r="403" spans="6:10">
      <c r="F403" s="2" t="s">
        <v>33</v>
      </c>
      <c r="G403" s="2">
        <v>1</v>
      </c>
      <c r="H403" s="2">
        <v>830</v>
      </c>
      <c r="I403" s="2">
        <v>881</v>
      </c>
      <c r="J403" s="2">
        <v>94.2</v>
      </c>
    </row>
    <row r="404" spans="6:10">
      <c r="F404" s="2" t="s">
        <v>33</v>
      </c>
      <c r="G404" s="2">
        <v>2</v>
      </c>
      <c r="H404" s="2">
        <v>798</v>
      </c>
      <c r="I404" s="2">
        <v>881</v>
      </c>
      <c r="J404" s="2">
        <v>90.6</v>
      </c>
    </row>
    <row r="405" spans="6:10">
      <c r="F405" s="2" t="s">
        <v>33</v>
      </c>
      <c r="G405" s="2">
        <v>3</v>
      </c>
      <c r="H405" s="2">
        <v>761</v>
      </c>
      <c r="I405" s="2">
        <v>881</v>
      </c>
      <c r="J405" s="2">
        <v>86.4</v>
      </c>
    </row>
    <row r="406" spans="6:10">
      <c r="F406" s="2" t="s">
        <v>33</v>
      </c>
      <c r="G406" s="2">
        <v>4</v>
      </c>
      <c r="H406" s="2">
        <v>724</v>
      </c>
      <c r="I406" s="2">
        <v>881</v>
      </c>
      <c r="J406" s="2">
        <v>82.2</v>
      </c>
    </row>
    <row r="407" spans="6:10">
      <c r="F407" s="2" t="s">
        <v>33</v>
      </c>
      <c r="G407" s="2">
        <v>5</v>
      </c>
      <c r="H407" s="2">
        <v>690</v>
      </c>
      <c r="I407" s="2">
        <v>881</v>
      </c>
      <c r="J407" s="2">
        <v>78.3</v>
      </c>
    </row>
    <row r="408" spans="6:10">
      <c r="F408" s="2" t="s">
        <v>33</v>
      </c>
      <c r="G408" s="2">
        <v>6</v>
      </c>
      <c r="H408" s="2">
        <v>663</v>
      </c>
      <c r="I408" s="2">
        <v>881</v>
      </c>
      <c r="J408" s="2">
        <v>75.3</v>
      </c>
    </row>
    <row r="409" spans="6:10">
      <c r="F409" s="2" t="s">
        <v>33</v>
      </c>
      <c r="G409" s="2">
        <v>7</v>
      </c>
      <c r="H409" s="2">
        <v>636</v>
      </c>
      <c r="I409" s="2">
        <v>881</v>
      </c>
      <c r="J409" s="2">
        <v>72.2</v>
      </c>
    </row>
    <row r="410" spans="6:10">
      <c r="F410" s="2" t="s">
        <v>34</v>
      </c>
      <c r="G410" s="2">
        <v>0</v>
      </c>
      <c r="H410" s="2">
        <v>675</v>
      </c>
      <c r="I410" s="2">
        <v>820</v>
      </c>
      <c r="J410" s="2">
        <v>82.3</v>
      </c>
    </row>
    <row r="411" spans="6:10">
      <c r="F411" s="2" t="s">
        <v>34</v>
      </c>
      <c r="G411" s="2">
        <v>1</v>
      </c>
      <c r="H411" s="2">
        <v>764</v>
      </c>
      <c r="I411" s="2">
        <v>820</v>
      </c>
      <c r="J411" s="2">
        <v>93.2</v>
      </c>
    </row>
    <row r="412" spans="6:10">
      <c r="F412" s="2" t="s">
        <v>34</v>
      </c>
      <c r="G412" s="2">
        <v>2</v>
      </c>
      <c r="H412" s="2">
        <v>724</v>
      </c>
      <c r="I412" s="2">
        <v>820</v>
      </c>
      <c r="J412" s="2">
        <v>88.3</v>
      </c>
    </row>
    <row r="413" spans="6:10">
      <c r="F413" s="2" t="s">
        <v>34</v>
      </c>
      <c r="G413" s="2">
        <v>3</v>
      </c>
      <c r="H413" s="2">
        <v>686</v>
      </c>
      <c r="I413" s="2">
        <v>820</v>
      </c>
      <c r="J413" s="2">
        <v>83.7</v>
      </c>
    </row>
    <row r="414" spans="6:10">
      <c r="F414" s="2" t="s">
        <v>34</v>
      </c>
      <c r="G414" s="2">
        <v>4</v>
      </c>
      <c r="H414" s="2">
        <v>647</v>
      </c>
      <c r="I414" s="2">
        <v>820</v>
      </c>
      <c r="J414" s="2">
        <v>78.900000000000006</v>
      </c>
    </row>
    <row r="415" spans="6:10">
      <c r="F415" s="2" t="s">
        <v>34</v>
      </c>
      <c r="G415" s="2">
        <v>5</v>
      </c>
      <c r="H415" s="2">
        <v>605</v>
      </c>
      <c r="I415" s="2">
        <v>820</v>
      </c>
      <c r="J415" s="2">
        <v>73.8</v>
      </c>
    </row>
    <row r="416" spans="6:10">
      <c r="F416" s="2" t="s">
        <v>34</v>
      </c>
      <c r="G416" s="2">
        <v>6</v>
      </c>
      <c r="H416" s="2">
        <v>579</v>
      </c>
      <c r="I416" s="2">
        <v>820</v>
      </c>
      <c r="J416" s="2">
        <v>70.599999999999994</v>
      </c>
    </row>
    <row r="417" spans="6:10">
      <c r="F417" s="2" t="s">
        <v>35</v>
      </c>
      <c r="G417" s="2">
        <v>0</v>
      </c>
      <c r="H417" s="2">
        <v>722</v>
      </c>
      <c r="I417" s="2">
        <v>852</v>
      </c>
      <c r="J417" s="2">
        <v>84.7</v>
      </c>
    </row>
    <row r="418" spans="6:10">
      <c r="F418" s="2" t="s">
        <v>35</v>
      </c>
      <c r="G418" s="2">
        <v>1</v>
      </c>
      <c r="H418" s="2">
        <v>802</v>
      </c>
      <c r="I418" s="2">
        <v>852</v>
      </c>
      <c r="J418" s="2">
        <v>94.1</v>
      </c>
    </row>
    <row r="419" spans="6:10">
      <c r="F419" s="2" t="s">
        <v>35</v>
      </c>
      <c r="G419" s="2">
        <v>2</v>
      </c>
      <c r="H419" s="2">
        <v>768</v>
      </c>
      <c r="I419" s="2">
        <v>852</v>
      </c>
      <c r="J419" s="2">
        <v>90.1</v>
      </c>
    </row>
    <row r="420" spans="6:10">
      <c r="F420" s="2" t="s">
        <v>35</v>
      </c>
      <c r="G420" s="2">
        <v>3</v>
      </c>
      <c r="H420" s="2">
        <v>727</v>
      </c>
      <c r="I420" s="2">
        <v>852</v>
      </c>
      <c r="J420" s="2">
        <v>85.3</v>
      </c>
    </row>
    <row r="421" spans="6:10">
      <c r="F421" s="2" t="s">
        <v>35</v>
      </c>
      <c r="G421" s="2">
        <v>4</v>
      </c>
      <c r="H421" s="2">
        <v>695</v>
      </c>
      <c r="I421" s="2">
        <v>852</v>
      </c>
      <c r="J421" s="2">
        <v>81.599999999999994</v>
      </c>
    </row>
    <row r="422" spans="6:10">
      <c r="F422" s="2" t="s">
        <v>35</v>
      </c>
      <c r="G422" s="2">
        <v>5</v>
      </c>
      <c r="H422" s="2">
        <v>663</v>
      </c>
      <c r="I422" s="2">
        <v>852</v>
      </c>
      <c r="J422" s="2">
        <v>77.8</v>
      </c>
    </row>
    <row r="423" spans="6:10">
      <c r="F423" s="2" t="s">
        <v>36</v>
      </c>
      <c r="G423" s="2">
        <v>0</v>
      </c>
      <c r="H423" s="2">
        <v>713</v>
      </c>
      <c r="I423" s="2">
        <v>837</v>
      </c>
      <c r="J423" s="2">
        <v>85.2</v>
      </c>
    </row>
    <row r="424" spans="6:10">
      <c r="F424" s="2" t="s">
        <v>36</v>
      </c>
      <c r="G424" s="2">
        <v>1</v>
      </c>
      <c r="H424" s="2">
        <v>786</v>
      </c>
      <c r="I424" s="2">
        <v>837</v>
      </c>
      <c r="J424" s="2">
        <v>93.9</v>
      </c>
    </row>
    <row r="425" spans="6:10">
      <c r="F425" s="2" t="s">
        <v>36</v>
      </c>
      <c r="G425" s="2">
        <v>2</v>
      </c>
      <c r="H425" s="2">
        <v>734</v>
      </c>
      <c r="I425" s="2">
        <v>837</v>
      </c>
      <c r="J425" s="2">
        <v>87.7</v>
      </c>
    </row>
    <row r="426" spans="6:10">
      <c r="F426" s="2" t="s">
        <v>36</v>
      </c>
      <c r="G426" s="2">
        <v>3</v>
      </c>
      <c r="H426" s="2">
        <v>687</v>
      </c>
      <c r="I426" s="2">
        <v>837</v>
      </c>
      <c r="J426" s="2">
        <v>82.1</v>
      </c>
    </row>
    <row r="427" spans="6:10">
      <c r="F427" s="2" t="s">
        <v>36</v>
      </c>
      <c r="G427" s="2">
        <v>4</v>
      </c>
      <c r="H427" s="2">
        <v>647</v>
      </c>
      <c r="I427" s="2">
        <v>837</v>
      </c>
      <c r="J427" s="2">
        <v>77.3</v>
      </c>
    </row>
    <row r="428" spans="6:10">
      <c r="F428" s="2" t="s">
        <v>37</v>
      </c>
      <c r="G428" s="2">
        <v>0</v>
      </c>
      <c r="H428" s="2">
        <v>688</v>
      </c>
      <c r="I428" s="2">
        <v>813</v>
      </c>
      <c r="J428" s="2">
        <v>84.6</v>
      </c>
    </row>
    <row r="429" spans="6:10">
      <c r="F429" s="2" t="s">
        <v>37</v>
      </c>
      <c r="G429" s="2">
        <v>1</v>
      </c>
      <c r="H429" s="2">
        <v>764</v>
      </c>
      <c r="I429" s="2">
        <v>813</v>
      </c>
      <c r="J429" s="2">
        <v>94</v>
      </c>
    </row>
    <row r="430" spans="6:10">
      <c r="F430" s="2" t="s">
        <v>37</v>
      </c>
      <c r="G430" s="2">
        <v>2</v>
      </c>
      <c r="H430" s="2">
        <v>708</v>
      </c>
      <c r="I430" s="2">
        <v>813</v>
      </c>
      <c r="J430" s="2">
        <v>87.1</v>
      </c>
    </row>
    <row r="431" spans="6:10">
      <c r="F431" s="2" t="s">
        <v>37</v>
      </c>
      <c r="G431" s="2">
        <v>3</v>
      </c>
      <c r="H431" s="2">
        <v>670</v>
      </c>
      <c r="I431" s="2">
        <v>813</v>
      </c>
      <c r="J431" s="2">
        <v>82.4</v>
      </c>
    </row>
    <row r="432" spans="6:10">
      <c r="F432" s="2" t="s">
        <v>38</v>
      </c>
      <c r="G432" s="2">
        <v>0</v>
      </c>
      <c r="H432" s="2">
        <v>714</v>
      </c>
      <c r="I432" s="2">
        <v>824</v>
      </c>
      <c r="J432" s="2">
        <v>86.7</v>
      </c>
    </row>
    <row r="433" spans="6:10">
      <c r="F433" s="2" t="s">
        <v>38</v>
      </c>
      <c r="G433" s="2">
        <v>1</v>
      </c>
      <c r="H433" s="2">
        <v>778</v>
      </c>
      <c r="I433" s="2">
        <v>824</v>
      </c>
      <c r="J433" s="2">
        <v>94.4</v>
      </c>
    </row>
    <row r="434" spans="6:10">
      <c r="F434" s="2" t="s">
        <v>38</v>
      </c>
      <c r="G434" s="2">
        <v>2</v>
      </c>
      <c r="H434" s="2">
        <v>741</v>
      </c>
      <c r="I434" s="2">
        <v>824</v>
      </c>
      <c r="J434" s="2">
        <v>89.9</v>
      </c>
    </row>
    <row r="435" spans="6:10">
      <c r="F435" s="2" t="s">
        <v>39</v>
      </c>
      <c r="G435" s="2">
        <v>0</v>
      </c>
      <c r="H435" s="2">
        <v>663</v>
      </c>
      <c r="I435" s="2">
        <v>770</v>
      </c>
      <c r="J435" s="2">
        <v>86.1</v>
      </c>
    </row>
    <row r="436" spans="6:10">
      <c r="F436" s="2" t="s">
        <v>39</v>
      </c>
      <c r="G436" s="2">
        <v>1</v>
      </c>
      <c r="H436" s="2">
        <v>726</v>
      </c>
      <c r="I436" s="2">
        <v>770</v>
      </c>
      <c r="J436" s="2">
        <v>94.3</v>
      </c>
    </row>
    <row r="437" spans="6:10">
      <c r="F437" s="2" t="s">
        <v>40</v>
      </c>
      <c r="G437" s="2">
        <v>0</v>
      </c>
      <c r="H437" s="2">
        <v>698</v>
      </c>
      <c r="I437" s="2">
        <v>820</v>
      </c>
      <c r="J437" s="2">
        <v>85.1</v>
      </c>
    </row>
  </sheetData>
  <mergeCells count="6">
    <mergeCell ref="B1:C1"/>
    <mergeCell ref="F1:K1"/>
    <mergeCell ref="A45:D45"/>
    <mergeCell ref="F45:J45"/>
    <mergeCell ref="N10:O10"/>
    <mergeCell ref="M1:Q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F5F00-813A-45C3-AB1B-9E3C15677863}">
  <dimension ref="A1:B14"/>
  <sheetViews>
    <sheetView workbookViewId="0">
      <selection sqref="A1:B1"/>
    </sheetView>
  </sheetViews>
  <sheetFormatPr defaultRowHeight="14.4"/>
  <cols>
    <col min="1" max="1" width="28.33203125" bestFit="1" customWidth="1"/>
  </cols>
  <sheetData>
    <row r="1" spans="1:2" ht="15.6">
      <c r="A1" s="9" t="s">
        <v>73</v>
      </c>
      <c r="B1" s="9"/>
    </row>
    <row r="3" spans="1:2">
      <c r="A3" s="5" t="s">
        <v>69</v>
      </c>
      <c r="B3" s="7">
        <f>Inputs!O11</f>
        <v>14141</v>
      </c>
    </row>
    <row r="4" spans="1:2">
      <c r="A4" t="s">
        <v>70</v>
      </c>
      <c r="B4" s="8">
        <f>Inputs!O12</f>
        <v>3.96</v>
      </c>
    </row>
    <row r="5" spans="1:2">
      <c r="A5" t="s">
        <v>71</v>
      </c>
      <c r="B5" s="8">
        <f>Inputs!O13</f>
        <v>900</v>
      </c>
    </row>
    <row r="6" spans="1:2">
      <c r="A6" t="s">
        <v>72</v>
      </c>
      <c r="B6" s="8">
        <f>Inputs!O14</f>
        <v>33</v>
      </c>
    </row>
    <row r="8" spans="1:2">
      <c r="A8" t="s">
        <v>74</v>
      </c>
      <c r="B8" s="6" t="s">
        <v>65</v>
      </c>
    </row>
    <row r="10" spans="1:2">
      <c r="A10" t="s">
        <v>75</v>
      </c>
      <c r="B10" s="8">
        <f>INDEX(Inputs!O3:Q3, MATCH(B8, Inputs!O2:Q2, 0))</f>
        <v>0.04</v>
      </c>
    </row>
    <row r="11" spans="1:2">
      <c r="A11" t="s">
        <v>76</v>
      </c>
      <c r="B11" s="8">
        <f>INDEX(Inputs!O4:Q4, MATCH(B$8, Inputs!O$2:Q$2, 0))</f>
        <v>0.03</v>
      </c>
    </row>
    <row r="12" spans="1:2">
      <c r="A12" t="s">
        <v>77</v>
      </c>
      <c r="B12" s="8">
        <f>INDEX(Inputs!O5:Q5, MATCH(B$8, Inputs!O$2:Q$2, 0))</f>
        <v>0.02</v>
      </c>
    </row>
    <row r="13" spans="1:2">
      <c r="A13" t="s">
        <v>78</v>
      </c>
      <c r="B13" s="8">
        <f>INDEX(Inputs!O6:Q6, MATCH(B$8, Inputs!O$2:Q$2, 0))</f>
        <v>0.08</v>
      </c>
    </row>
    <row r="14" spans="1:2">
      <c r="A14" t="s">
        <v>79</v>
      </c>
      <c r="B14" s="8">
        <f>INDEX(Inputs!O7:Q7, MATCH(B$8, Inputs!O$2:Q$2, 0))</f>
        <v>0.6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3124C-2EBB-4844-988B-F498D31D36D1}">
  <dimension ref="A1:AK16"/>
  <sheetViews>
    <sheetView workbookViewId="0">
      <selection activeCell="D18" sqref="D18:D19"/>
    </sheetView>
  </sheetViews>
  <sheetFormatPr defaultRowHeight="14.4"/>
  <cols>
    <col min="1" max="1" width="18.21875" customWidth="1"/>
  </cols>
  <sheetData>
    <row r="1" spans="1:37" ht="15.6">
      <c r="A1" s="9" t="s">
        <v>80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</row>
    <row r="3" spans="1:37">
      <c r="A3" s="13"/>
      <c r="B3" s="18">
        <v>46023</v>
      </c>
      <c r="C3" s="19">
        <v>46054</v>
      </c>
      <c r="D3" s="19">
        <v>46082</v>
      </c>
      <c r="E3" s="19">
        <v>46113</v>
      </c>
      <c r="F3" s="19">
        <v>46143</v>
      </c>
      <c r="G3" s="19">
        <v>46174</v>
      </c>
      <c r="H3" s="19">
        <v>46204</v>
      </c>
      <c r="I3" s="19">
        <v>46235</v>
      </c>
      <c r="J3" s="19">
        <v>46266</v>
      </c>
      <c r="K3" s="19">
        <v>46296</v>
      </c>
      <c r="L3" s="19">
        <v>46327</v>
      </c>
      <c r="M3" s="19">
        <v>46357</v>
      </c>
      <c r="N3" s="19">
        <v>46388</v>
      </c>
      <c r="O3" s="19">
        <v>46419</v>
      </c>
      <c r="P3" s="19">
        <v>46447</v>
      </c>
      <c r="Q3" s="19">
        <v>46478</v>
      </c>
      <c r="R3" s="19">
        <v>46508</v>
      </c>
      <c r="S3" s="19">
        <v>46539</v>
      </c>
      <c r="T3" s="19">
        <v>46569</v>
      </c>
      <c r="U3" s="19">
        <v>46600</v>
      </c>
      <c r="V3" s="19">
        <v>46631</v>
      </c>
      <c r="W3" s="19">
        <v>46661</v>
      </c>
      <c r="X3" s="19">
        <v>46692</v>
      </c>
      <c r="Y3" s="19">
        <v>46722</v>
      </c>
      <c r="Z3" s="19">
        <v>46753</v>
      </c>
      <c r="AA3" s="19">
        <v>46784</v>
      </c>
      <c r="AB3" s="19">
        <v>46813</v>
      </c>
      <c r="AC3" s="19">
        <v>46844</v>
      </c>
      <c r="AD3" s="19">
        <v>46874</v>
      </c>
      <c r="AE3" s="19">
        <v>46905</v>
      </c>
      <c r="AF3" s="19">
        <v>46935</v>
      </c>
      <c r="AG3" s="19">
        <v>46966</v>
      </c>
      <c r="AH3" s="19">
        <v>46997</v>
      </c>
      <c r="AI3" s="19">
        <v>47027</v>
      </c>
      <c r="AJ3" s="19">
        <v>47058</v>
      </c>
      <c r="AK3" s="19">
        <v>47088</v>
      </c>
    </row>
    <row r="4" spans="1:37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</row>
    <row r="5" spans="1:37">
      <c r="A5" s="13" t="s">
        <v>81</v>
      </c>
      <c r="B5" s="13">
        <f>Drivers!B5</f>
        <v>900</v>
      </c>
      <c r="C5" s="13">
        <f>B5*(1+Drivers!$B$10)</f>
        <v>936</v>
      </c>
      <c r="D5" s="13">
        <f>C5*(1+Drivers!$B$10)</f>
        <v>973.44</v>
      </c>
      <c r="E5" s="13">
        <f>D5*(1+Drivers!$B$10)</f>
        <v>1012.3776000000001</v>
      </c>
      <c r="F5" s="13">
        <f>E5*(1+Drivers!$B$10)</f>
        <v>1052.8727040000001</v>
      </c>
      <c r="G5" s="13">
        <f>F5*(1+Drivers!$B$10)</f>
        <v>1094.9876121600003</v>
      </c>
      <c r="H5" s="13">
        <f>G5*(1+Drivers!$B$10)</f>
        <v>1138.7871166464004</v>
      </c>
      <c r="I5" s="13">
        <f>H5*(1+Drivers!$B$10)</f>
        <v>1184.3386013122565</v>
      </c>
      <c r="J5" s="13">
        <f>I5*(1+Drivers!$B$10)</f>
        <v>1231.7121453647469</v>
      </c>
      <c r="K5" s="13">
        <f>J5*(1+Drivers!$B$10)</f>
        <v>1280.9806311793368</v>
      </c>
      <c r="L5" s="13">
        <f>K5*(1+Drivers!$B$10)</f>
        <v>1332.2198564265102</v>
      </c>
      <c r="M5" s="13">
        <f>L5*(1+Drivers!$B$10)</f>
        <v>1385.5086506835707</v>
      </c>
      <c r="N5" s="13">
        <f>M5*(1+Drivers!$B$10)</f>
        <v>1440.9289967109137</v>
      </c>
      <c r="O5" s="13">
        <f>N5*(1+Drivers!$B$10)</f>
        <v>1498.5661565793503</v>
      </c>
      <c r="P5" s="13">
        <f>O5*(1+Drivers!$B$10)</f>
        <v>1558.5088028425243</v>
      </c>
      <c r="Q5" s="13">
        <f>P5*(1+Drivers!$B$10)</f>
        <v>1620.8491549562254</v>
      </c>
      <c r="R5" s="13">
        <f>Q5*(1+Drivers!$B$10)</f>
        <v>1685.6831211544745</v>
      </c>
      <c r="S5" s="13">
        <f>R5*(1+Drivers!$B$10)</f>
        <v>1753.1104460006536</v>
      </c>
      <c r="T5" s="13">
        <f>S5*(1+Drivers!$B$10)</f>
        <v>1823.2348638406797</v>
      </c>
      <c r="U5" s="13">
        <f>T5*(1+Drivers!$B$10)</f>
        <v>1896.1642583943069</v>
      </c>
      <c r="V5" s="13">
        <f>U5*(1+Drivers!$B$10)</f>
        <v>1972.0108287300793</v>
      </c>
      <c r="W5" s="13">
        <f>V5*(1+Drivers!$B$10)</f>
        <v>2050.8912618792824</v>
      </c>
      <c r="X5" s="13">
        <f>W5*(1+Drivers!$B$10)</f>
        <v>2132.9269123544536</v>
      </c>
      <c r="Y5" s="13">
        <f>X5*(1+Drivers!$B$10)</f>
        <v>2218.2439888486319</v>
      </c>
      <c r="Z5" s="13">
        <f>Y5*(1+Drivers!$B$10)</f>
        <v>2306.9737484025773</v>
      </c>
      <c r="AA5" s="13">
        <f>Z5*(1+Drivers!$B$10)</f>
        <v>2399.2526983386806</v>
      </c>
      <c r="AB5" s="13">
        <f>AA5*(1+Drivers!$B$10)</f>
        <v>2495.2228062722279</v>
      </c>
      <c r="AC5" s="13">
        <f>AB5*(1+Drivers!$B$10)</f>
        <v>2595.031718523117</v>
      </c>
      <c r="AD5" s="13">
        <f>AC5*(1+Drivers!$B$10)</f>
        <v>2698.8329872640415</v>
      </c>
      <c r="AE5" s="13">
        <f>AD5*(1+Drivers!$B$10)</f>
        <v>2806.7863067546032</v>
      </c>
      <c r="AF5" s="13">
        <f>AE5*(1+Drivers!$B$10)</f>
        <v>2919.0577590247872</v>
      </c>
      <c r="AG5" s="13">
        <f>AF5*(1+Drivers!$B$10)</f>
        <v>3035.8200693857789</v>
      </c>
      <c r="AH5" s="13">
        <f>AG5*(1+Drivers!$B$10)</f>
        <v>3157.2528721612102</v>
      </c>
      <c r="AI5" s="13">
        <f>AH5*(1+Drivers!$B$10)</f>
        <v>3283.5429870476587</v>
      </c>
      <c r="AJ5" s="13">
        <f>AI5*(1+Drivers!$B$10)</f>
        <v>3414.8847065295649</v>
      </c>
      <c r="AK5" s="13">
        <f>AJ5*(1+Drivers!$B$10)</f>
        <v>3551.4800947907474</v>
      </c>
    </row>
    <row r="6" spans="1:37">
      <c r="A6" s="13" t="s">
        <v>82</v>
      </c>
      <c r="B6" s="13">
        <f>Drivers!B6</f>
        <v>33</v>
      </c>
      <c r="C6" s="13">
        <f>B6*(1+Drivers!$B$13/12)</f>
        <v>33.22</v>
      </c>
      <c r="D6" s="13">
        <f>C6*(1+Drivers!$B$13/12)</f>
        <v>33.441466666666663</v>
      </c>
      <c r="E6" s="13">
        <f>D6*(1+Drivers!$B$13/12)</f>
        <v>33.66440977777777</v>
      </c>
      <c r="F6" s="13">
        <f>E6*(1+Drivers!$B$13/12)</f>
        <v>33.888839176296287</v>
      </c>
      <c r="G6" s="13">
        <f>F6*(1+Drivers!$B$13/12)</f>
        <v>34.114764770804925</v>
      </c>
      <c r="H6" s="13">
        <f>G6*(1+Drivers!$B$13/12)</f>
        <v>34.342196535943621</v>
      </c>
      <c r="I6" s="13">
        <f>H6*(1+Drivers!$B$13/12)</f>
        <v>34.571144512849912</v>
      </c>
      <c r="J6" s="13">
        <f>I6*(1+Drivers!$B$13/12)</f>
        <v>34.801618809602246</v>
      </c>
      <c r="K6" s="13">
        <f>J6*(1+Drivers!$B$13/12)</f>
        <v>35.033629601666256</v>
      </c>
      <c r="L6" s="13">
        <f>K6*(1+Drivers!$B$13/12)</f>
        <v>35.267187132344027</v>
      </c>
      <c r="M6" s="13">
        <f>L6*(1+Drivers!$B$13/12)</f>
        <v>35.502301713226316</v>
      </c>
      <c r="N6" s="13">
        <f>M6*(1+Drivers!$B$13/12)</f>
        <v>35.738983724647824</v>
      </c>
      <c r="O6" s="13">
        <f>N6*(1+Drivers!$B$13/12)</f>
        <v>35.977243616145472</v>
      </c>
      <c r="P6" s="13">
        <f>O6*(1+Drivers!$B$13/12)</f>
        <v>36.217091906919769</v>
      </c>
      <c r="Q6" s="13">
        <f>P6*(1+Drivers!$B$13/12)</f>
        <v>36.458539186299234</v>
      </c>
      <c r="R6" s="13">
        <f>Q6*(1+Drivers!$B$13/12)</f>
        <v>36.701596114207895</v>
      </c>
      <c r="S6" s="13">
        <f>R6*(1+Drivers!$B$13/12)</f>
        <v>36.946273421635944</v>
      </c>
      <c r="T6" s="13">
        <f>S6*(1+Drivers!$B$13/12)</f>
        <v>37.192581911113514</v>
      </c>
      <c r="U6" s="13">
        <f>T6*(1+Drivers!$B$13/12)</f>
        <v>37.440532457187601</v>
      </c>
      <c r="V6" s="13">
        <f>U6*(1+Drivers!$B$13/12)</f>
        <v>37.690136006902179</v>
      </c>
      <c r="W6" s="13">
        <f>V6*(1+Drivers!$B$13/12)</f>
        <v>37.941403580281523</v>
      </c>
      <c r="X6" s="13">
        <f>W6*(1+Drivers!$B$13/12)</f>
        <v>38.19434627081673</v>
      </c>
      <c r="Y6" s="13">
        <f>X6*(1+Drivers!$B$13/12)</f>
        <v>38.448975245955509</v>
      </c>
      <c r="Z6" s="13">
        <f>Y6*(1+Drivers!$B$13/12)</f>
        <v>38.705301747595207</v>
      </c>
      <c r="AA6" s="13">
        <f>Z6*(1+Drivers!$B$13/12)</f>
        <v>38.963337092579174</v>
      </c>
      <c r="AB6" s="13">
        <f>AA6*(1+Drivers!$B$13/12)</f>
        <v>39.223092673196362</v>
      </c>
      <c r="AC6" s="13">
        <f>AB6*(1+Drivers!$B$13/12)</f>
        <v>39.484579957684332</v>
      </c>
      <c r="AD6" s="13">
        <f>AC6*(1+Drivers!$B$13/12)</f>
        <v>39.74781049073556</v>
      </c>
      <c r="AE6" s="13">
        <f>AD6*(1+Drivers!$B$13/12)</f>
        <v>40.012795894007127</v>
      </c>
      <c r="AF6" s="13">
        <f>AE6*(1+Drivers!$B$13/12)</f>
        <v>40.279547866633841</v>
      </c>
      <c r="AG6" s="13">
        <f>AF6*(1+Drivers!$B$13/12)</f>
        <v>40.548078185744728</v>
      </c>
      <c r="AH6" s="13">
        <f>AG6*(1+Drivers!$B$13/12)</f>
        <v>40.818398706983025</v>
      </c>
      <c r="AI6" s="13">
        <f>AH6*(1+Drivers!$B$13/12)</f>
        <v>41.090521365029574</v>
      </c>
      <c r="AJ6" s="13">
        <f>AI6*(1+Drivers!$B$13/12)</f>
        <v>41.364458174129766</v>
      </c>
      <c r="AK6" s="13">
        <f>AJ6*(1+Drivers!$B$13/12)</f>
        <v>41.640221228623965</v>
      </c>
    </row>
    <row r="7" spans="1:37">
      <c r="A7" s="13" t="s">
        <v>83</v>
      </c>
      <c r="B7" s="13">
        <f>B5*B6</f>
        <v>29700</v>
      </c>
      <c r="C7" s="13">
        <f>C5*C6</f>
        <v>31093.919999999998</v>
      </c>
      <c r="D7" s="13">
        <f t="shared" ref="D7:AK7" si="0">D5*D6</f>
        <v>32553.261311999999</v>
      </c>
      <c r="E7" s="13">
        <f t="shared" si="0"/>
        <v>34081.0943762432</v>
      </c>
      <c r="F7" s="13">
        <f t="shared" si="0"/>
        <v>35680.633738968208</v>
      </c>
      <c r="G7" s="13">
        <f t="shared" si="0"/>
        <v>37355.244815783786</v>
      </c>
      <c r="H7" s="13">
        <f t="shared" si="0"/>
        <v>39108.450972471233</v>
      </c>
      <c r="I7" s="13">
        <f t="shared" si="0"/>
        <v>40943.940938112559</v>
      </c>
      <c r="J7" s="13">
        <f t="shared" si="0"/>
        <v>42865.57656614131</v>
      </c>
      <c r="K7" s="13">
        <f t="shared" si="0"/>
        <v>44877.400959645536</v>
      </c>
      <c r="L7" s="13">
        <f t="shared" si="0"/>
        <v>46983.646978018231</v>
      </c>
      <c r="M7" s="13">
        <f t="shared" si="0"/>
        <v>49188.746142853219</v>
      </c>
      <c r="N7" s="13">
        <f t="shared" si="0"/>
        <v>51497.337961824458</v>
      </c>
      <c r="O7" s="13">
        <f t="shared" si="0"/>
        <v>53914.279690166084</v>
      </c>
      <c r="P7" s="13">
        <f t="shared" si="0"/>
        <v>56444.656550291205</v>
      </c>
      <c r="Q7" s="13">
        <f t="shared" si="0"/>
        <v>59093.792431051545</v>
      </c>
      <c r="R7" s="13">
        <f t="shared" si="0"/>
        <v>61867.261089148895</v>
      </c>
      <c r="S7" s="13">
        <f t="shared" si="0"/>
        <v>64770.897876266281</v>
      </c>
      <c r="T7" s="13">
        <f t="shared" si="0"/>
        <v>67810.812016592376</v>
      </c>
      <c r="U7" s="13">
        <f t="shared" si="0"/>
        <v>70993.399460571105</v>
      </c>
      <c r="V7" s="13">
        <f t="shared" si="0"/>
        <v>74325.356341920575</v>
      </c>
      <c r="W7" s="13">
        <f t="shared" si="0"/>
        <v>77813.6930662347</v>
      </c>
      <c r="X7" s="13">
        <f t="shared" si="0"/>
        <v>81465.749060809976</v>
      </c>
      <c r="Y7" s="13">
        <f t="shared" si="0"/>
        <v>85289.208216730665</v>
      </c>
      <c r="Z7" s="13">
        <f t="shared" si="0"/>
        <v>89292.115055702539</v>
      </c>
      <c r="AA7" s="13">
        <f t="shared" si="0"/>
        <v>93482.891655650179</v>
      </c>
      <c r="AB7" s="13">
        <f t="shared" si="0"/>
        <v>97870.355370688689</v>
      </c>
      <c r="AC7" s="13">
        <f t="shared" si="0"/>
        <v>102463.737382753</v>
      </c>
      <c r="AD7" s="13">
        <f t="shared" si="0"/>
        <v>107272.70212391687</v>
      </c>
      <c r="AE7" s="13">
        <f t="shared" si="0"/>
        <v>112307.36761026601</v>
      </c>
      <c r="AF7" s="13">
        <f t="shared" si="0"/>
        <v>117578.32673010783</v>
      </c>
      <c r="AG7" s="13">
        <f t="shared" si="0"/>
        <v>123096.66953130755</v>
      </c>
      <c r="AH7" s="13">
        <f t="shared" si="0"/>
        <v>128874.00655464358</v>
      </c>
      <c r="AI7" s="13">
        <f t="shared" si="0"/>
        <v>134922.49326227483</v>
      </c>
      <c r="AJ7" s="13">
        <f t="shared" si="0"/>
        <v>141254.8556127176</v>
      </c>
      <c r="AK7" s="13">
        <f t="shared" si="0"/>
        <v>147884.41683614114</v>
      </c>
    </row>
    <row r="8" spans="1:37">
      <c r="A8" s="20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</row>
    <row r="9" spans="1:37">
      <c r="A9" s="13" t="s">
        <v>84</v>
      </c>
      <c r="B9" s="13">
        <f>Drivers!B3*(1-Drivers!B11)+B5</f>
        <v>14616.77</v>
      </c>
      <c r="C9" s="13">
        <f>B9*(1-Drivers!$B$11)+C5</f>
        <v>15114.266900000001</v>
      </c>
      <c r="D9" s="13">
        <f>C9*(1-Drivers!$B$11)+D5</f>
        <v>15634.278893000001</v>
      </c>
      <c r="E9" s="13">
        <f>D9*(1-Drivers!$B$11)+E5</f>
        <v>16177.62812621</v>
      </c>
      <c r="F9" s="13">
        <f>E9*(1-Drivers!$B$11)+F5</f>
        <v>16745.171986423698</v>
      </c>
      <c r="G9" s="13">
        <f>F9*(1-Drivers!$B$11)+G5</f>
        <v>17337.804438990988</v>
      </c>
      <c r="H9" s="13">
        <f>G9*(1-Drivers!$B$11)+H5</f>
        <v>17956.457422467658</v>
      </c>
      <c r="I9" s="13">
        <f>H9*(1-Drivers!$B$11)+I5</f>
        <v>18602.102301105886</v>
      </c>
      <c r="J9" s="13">
        <f>I9*(1-Drivers!$B$11)+J5</f>
        <v>19275.751377437453</v>
      </c>
      <c r="K9" s="13">
        <f>J9*(1-Drivers!$B$11)+K5</f>
        <v>19978.459467293666</v>
      </c>
      <c r="L9" s="13">
        <f>K9*(1-Drivers!$B$11)+L5</f>
        <v>20711.325539701364</v>
      </c>
      <c r="M9" s="13">
        <f>L9*(1-Drivers!$B$11)+M5</f>
        <v>21475.494424193894</v>
      </c>
      <c r="N9" s="13">
        <f>M9*(1-Drivers!$B$11)+N5</f>
        <v>22272.158588178991</v>
      </c>
      <c r="O9" s="13">
        <f>N9*(1-Drivers!$B$11)+O5</f>
        <v>23102.559987112971</v>
      </c>
      <c r="P9" s="13">
        <f>O9*(1-Drivers!$B$11)+P5</f>
        <v>23967.991990342103</v>
      </c>
      <c r="Q9" s="13">
        <f>P9*(1-Drivers!$B$11)+Q5</f>
        <v>24869.801385588064</v>
      </c>
      <c r="R9" s="13">
        <f>Q9*(1-Drivers!$B$11)+R5</f>
        <v>25809.390465174896</v>
      </c>
      <c r="S9" s="13">
        <f>R9*(1-Drivers!$B$11)+S5</f>
        <v>26788.219197220304</v>
      </c>
      <c r="T9" s="13">
        <f>S9*(1-Drivers!$B$11)+T5</f>
        <v>27807.807485144374</v>
      </c>
      <c r="U9" s="13">
        <f>T9*(1-Drivers!$B$11)+U5</f>
        <v>28869.737518984348</v>
      </c>
      <c r="V9" s="13">
        <f>U9*(1-Drivers!$B$11)+V5</f>
        <v>29975.656222144895</v>
      </c>
      <c r="W9" s="13">
        <f>V9*(1-Drivers!$B$11)+W5</f>
        <v>31127.277797359828</v>
      </c>
      <c r="X9" s="13">
        <f>W9*(1-Drivers!$B$11)+X5</f>
        <v>32326.386375793485</v>
      </c>
      <c r="Y9" s="13">
        <f>X9*(1-Drivers!$B$11)+Y5</f>
        <v>33574.838773368312</v>
      </c>
      <c r="Z9" s="13">
        <f>Y9*(1-Drivers!$B$11)+Z5</f>
        <v>34874.567358569839</v>
      </c>
      <c r="AA9" s="13">
        <f>Z9*(1-Drivers!$B$11)+AA5</f>
        <v>36227.583036151424</v>
      </c>
      <c r="AB9" s="13">
        <f>AA9*(1-Drivers!$B$11)+AB5</f>
        <v>37635.978351339108</v>
      </c>
      <c r="AC9" s="13">
        <f>AB9*(1-Drivers!$B$11)+AC5</f>
        <v>39101.930719322052</v>
      </c>
      <c r="AD9" s="13">
        <f>AC9*(1-Drivers!$B$11)+AD5</f>
        <v>40627.70578500643</v>
      </c>
      <c r="AE9" s="13">
        <f>AD9*(1-Drivers!$B$11)+AE5</f>
        <v>42215.660918210844</v>
      </c>
      <c r="AF9" s="13">
        <f>AE9*(1-Drivers!$B$11)+AF5</f>
        <v>43868.248849689306</v>
      </c>
      <c r="AG9" s="13">
        <f>AF9*(1-Drivers!$B$11)+AG5</f>
        <v>45588.021453584406</v>
      </c>
      <c r="AH9" s="13">
        <f>AG9*(1-Drivers!$B$11)+AH5</f>
        <v>47377.633682138083</v>
      </c>
      <c r="AI9" s="13">
        <f>AH9*(1-Drivers!$B$11)+AI5</f>
        <v>49239.847658721599</v>
      </c>
      <c r="AJ9" s="13">
        <f>AI9*(1-Drivers!$B$11)+AJ5</f>
        <v>51177.536935489516</v>
      </c>
      <c r="AK9" s="13">
        <f>AJ9*(1-Drivers!$B$11)+AK5</f>
        <v>53193.690922215581</v>
      </c>
    </row>
    <row r="10" spans="1:37">
      <c r="A10" s="13" t="s">
        <v>85</v>
      </c>
      <c r="B10" s="13">
        <f>Drivers!B4</f>
        <v>3.96</v>
      </c>
      <c r="C10" s="13">
        <f>B10*(1+Drivers!$B$12)</f>
        <v>4.0392000000000001</v>
      </c>
      <c r="D10" s="13">
        <f>C10*(1+Drivers!$B$12)</f>
        <v>4.1199840000000005</v>
      </c>
      <c r="E10" s="13">
        <f>D10*(1+Drivers!$B$12)</f>
        <v>4.2023836800000005</v>
      </c>
      <c r="F10" s="13">
        <f>E10*(1+Drivers!$B$12)</f>
        <v>4.2864313536000003</v>
      </c>
      <c r="G10" s="13">
        <f>F10*(1+Drivers!$B$12)</f>
        <v>4.3721599806720004</v>
      </c>
      <c r="H10" s="13">
        <f>G10*(1+Drivers!$B$12)</f>
        <v>4.4596031802854403</v>
      </c>
      <c r="I10" s="13">
        <f>H10*(1+Drivers!$B$12)</f>
        <v>4.5487952438911492</v>
      </c>
      <c r="J10" s="13">
        <f>I10*(1+Drivers!$B$12)</f>
        <v>4.6397711487689719</v>
      </c>
      <c r="K10" s="13">
        <f>J10*(1+Drivers!$B$12)</f>
        <v>4.7325665717443517</v>
      </c>
      <c r="L10" s="13">
        <f>K10*(1+Drivers!$B$12)</f>
        <v>4.827217903179239</v>
      </c>
      <c r="M10" s="13">
        <f>L10*(1+Drivers!$B$12)</f>
        <v>4.9237622612428238</v>
      </c>
      <c r="N10" s="13">
        <f>M10*(1+Drivers!$B$12)</f>
        <v>5.0222375064676807</v>
      </c>
      <c r="O10" s="13">
        <f>N10*(1+Drivers!$B$12)</f>
        <v>5.1226822565970345</v>
      </c>
      <c r="P10" s="13">
        <f>O10*(1+Drivers!$B$12)</f>
        <v>5.2251359017289749</v>
      </c>
      <c r="Q10" s="13">
        <f>P10*(1+Drivers!$B$12)</f>
        <v>5.3296386197635544</v>
      </c>
      <c r="R10" s="13">
        <f>Q10*(1+Drivers!$B$12)</f>
        <v>5.4362313921588257</v>
      </c>
      <c r="S10" s="13">
        <f>R10*(1+Drivers!$B$12)</f>
        <v>5.5449560200020027</v>
      </c>
      <c r="T10" s="13">
        <f>S10*(1+Drivers!$B$12)</f>
        <v>5.6558551404020427</v>
      </c>
      <c r="U10" s="13">
        <f>T10*(1+Drivers!$B$12)</f>
        <v>5.7689722432100838</v>
      </c>
      <c r="V10" s="13">
        <f>U10*(1+Drivers!$B$12)</f>
        <v>5.8843516880742852</v>
      </c>
      <c r="W10" s="13">
        <f>V10*(1+Drivers!$B$12)</f>
        <v>6.0020387218357714</v>
      </c>
      <c r="X10" s="13">
        <f>W10*(1+Drivers!$B$12)</f>
        <v>6.1220794962724865</v>
      </c>
      <c r="Y10" s="13">
        <f>X10*(1+Drivers!$B$12)</f>
        <v>6.2445210861979366</v>
      </c>
      <c r="Z10" s="13">
        <f>Y10*(1+Drivers!$B$12)</f>
        <v>6.3694115079218951</v>
      </c>
      <c r="AA10" s="13">
        <f>Z10*(1+Drivers!$B$12)</f>
        <v>6.4967997380803331</v>
      </c>
      <c r="AB10" s="13">
        <f>AA10*(1+Drivers!$B$12)</f>
        <v>6.6267357328419401</v>
      </c>
      <c r="AC10" s="13">
        <f>AB10*(1+Drivers!$B$12)</f>
        <v>6.7592704474987793</v>
      </c>
      <c r="AD10" s="13">
        <f>AC10*(1+Drivers!$B$12)</f>
        <v>6.8944558564487552</v>
      </c>
      <c r="AE10" s="13">
        <f>AD10*(1+Drivers!$B$12)</f>
        <v>7.0323449735777306</v>
      </c>
      <c r="AF10" s="13">
        <f>AE10*(1+Drivers!$B$12)</f>
        <v>7.172991873049285</v>
      </c>
      <c r="AG10" s="13">
        <f>AF10*(1+Drivers!$B$12)</f>
        <v>7.3164517105102709</v>
      </c>
      <c r="AH10" s="13">
        <f>AG10*(1+Drivers!$B$12)</f>
        <v>7.4627807447204768</v>
      </c>
      <c r="AI10" s="13">
        <f>AH10*(1+Drivers!$B$12)</f>
        <v>7.6120363596148861</v>
      </c>
      <c r="AJ10" s="13">
        <f>AI10*(1+Drivers!$B$12)</f>
        <v>7.7642770868071835</v>
      </c>
      <c r="AK10" s="13">
        <f>AJ10*(1+Drivers!$B$12)</f>
        <v>7.9195626285433276</v>
      </c>
    </row>
    <row r="11" spans="1:37">
      <c r="A11" s="13" t="s">
        <v>86</v>
      </c>
      <c r="B11" s="13">
        <f>B9*B10</f>
        <v>57882.409200000002</v>
      </c>
      <c r="C11" s="13">
        <f>C9*C10</f>
        <v>61049.546862480005</v>
      </c>
      <c r="D11" s="13">
        <f t="shared" ref="D11:AK11" si="1">D9*D10</f>
        <v>64412.978890697726</v>
      </c>
      <c r="E11" s="13">
        <f t="shared" si="1"/>
        <v>67984.600418693895</v>
      </c>
      <c r="F11" s="13">
        <f t="shared" si="1"/>
        <v>71777.030224030939</v>
      </c>
      <c r="G11" s="13">
        <f t="shared" si="1"/>
        <v>75803.654720873761</v>
      </c>
      <c r="H11" s="13">
        <f t="shared" si="1"/>
        <v>80078.674627896864</v>
      </c>
      <c r="I11" s="13">
        <f t="shared" si="1"/>
        <v>84617.154473647053</v>
      </c>
      <c r="J11" s="13">
        <f t="shared" si="1"/>
        <v>89435.075111878061</v>
      </c>
      <c r="K11" s="13">
        <f t="shared" si="1"/>
        <v>94549.38942986347</v>
      </c>
      <c r="L11" s="13">
        <f t="shared" si="1"/>
        <v>99978.081443819843</v>
      </c>
      <c r="M11" s="13">
        <f t="shared" si="1"/>
        <v>105740.22898737658</v>
      </c>
      <c r="N11" s="13">
        <f t="shared" si="1"/>
        <v>111856.07021154879</v>
      </c>
      <c r="O11" s="13">
        <f t="shared" si="1"/>
        <v>118347.07412795223</v>
      </c>
      <c r="P11" s="13">
        <f t="shared" si="1"/>
        <v>125236.01544108904</v>
      </c>
      <c r="Q11" s="13">
        <f t="shared" si="1"/>
        <v>132547.05393047931</v>
      </c>
      <c r="R11" s="13">
        <f t="shared" si="1"/>
        <v>140305.81865926844</v>
      </c>
      <c r="S11" s="13">
        <f t="shared" si="1"/>
        <v>148539.49730275993</v>
      </c>
      <c r="T11" s="13">
        <f t="shared" si="1"/>
        <v>157276.93090816421</v>
      </c>
      <c r="U11" s="13">
        <f t="shared" si="1"/>
        <v>166548.71441578146</v>
      </c>
      <c r="V11" s="13">
        <f t="shared" si="1"/>
        <v>176387.30329191277</v>
      </c>
      <c r="W11" s="13">
        <f t="shared" si="1"/>
        <v>186827.12664509256</v>
      </c>
      <c r="X11" s="13">
        <f t="shared" si="1"/>
        <v>197904.70721982754</v>
      </c>
      <c r="Y11" s="13">
        <f t="shared" si="1"/>
        <v>209658.78868599448</v>
      </c>
      <c r="Z11" s="13">
        <f t="shared" si="1"/>
        <v>222130.47066747202</v>
      </c>
      <c r="AA11" s="13">
        <f t="shared" si="1"/>
        <v>235363.35198055208</v>
      </c>
      <c r="AB11" s="13">
        <f t="shared" si="1"/>
        <v>249403.68258128455</v>
      </c>
      <c r="AC11" s="13">
        <f t="shared" si="1"/>
        <v>264300.52475125826</v>
      </c>
      <c r="AD11" s="13">
        <f t="shared" si="1"/>
        <v>280105.92408351455</v>
      </c>
      <c r="AE11" s="13">
        <f t="shared" si="1"/>
        <v>296875.09086444188</v>
      </c>
      <c r="AF11" s="13">
        <f t="shared" si="1"/>
        <v>314666.59248372505</v>
      </c>
      <c r="AG11" s="13">
        <f t="shared" si="1"/>
        <v>333542.55754285655</v>
      </c>
      <c r="AH11" s="13">
        <f t="shared" si="1"/>
        <v>353568.89237348037</v>
      </c>
      <c r="AI11" s="13">
        <f t="shared" si="1"/>
        <v>374815.51072008675</v>
      </c>
      <c r="AJ11" s="13">
        <f t="shared" si="1"/>
        <v>397356.57738744956</v>
      </c>
      <c r="AK11" s="13">
        <f t="shared" si="1"/>
        <v>421270.76670186297</v>
      </c>
    </row>
    <row r="12" spans="1:37">
      <c r="A12" s="20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</row>
    <row r="13" spans="1:37">
      <c r="A13" s="13" t="s">
        <v>87</v>
      </c>
      <c r="B13" s="13">
        <f>B11*Drivers!B14</f>
        <v>34729.445520000001</v>
      </c>
      <c r="C13" s="13">
        <f>C11*Drivers!$B$14</f>
        <v>36629.728117488005</v>
      </c>
      <c r="D13" s="13">
        <f>D11*Drivers!$B$14</f>
        <v>38647.787334418637</v>
      </c>
      <c r="E13" s="13">
        <f>E11*Drivers!$B$14</f>
        <v>40790.760251216336</v>
      </c>
      <c r="F13" s="13">
        <f>F11*Drivers!$B$14</f>
        <v>43066.218134418559</v>
      </c>
      <c r="G13" s="13">
        <f>G11*Drivers!$B$14</f>
        <v>45482.192832524255</v>
      </c>
      <c r="H13" s="13">
        <f>H11*Drivers!$B$14</f>
        <v>48047.204776738115</v>
      </c>
      <c r="I13" s="13">
        <f>I11*Drivers!$B$14</f>
        <v>50770.292684188229</v>
      </c>
      <c r="J13" s="13">
        <f>J11*Drivers!$B$14</f>
        <v>53661.045067126834</v>
      </c>
      <c r="K13" s="13">
        <f>K11*Drivers!$B$14</f>
        <v>56729.633657918079</v>
      </c>
      <c r="L13" s="13">
        <f>L11*Drivers!$B$14</f>
        <v>59986.848866291904</v>
      </c>
      <c r="M13" s="13">
        <f>M11*Drivers!$B$14</f>
        <v>63444.137392425946</v>
      </c>
      <c r="N13" s="13">
        <f>N11*Drivers!$B$14</f>
        <v>67113.642126929277</v>
      </c>
      <c r="O13" s="13">
        <f>O11*Drivers!$B$14</f>
        <v>71008.244476771331</v>
      </c>
      <c r="P13" s="13">
        <f>P11*Drivers!$B$14</f>
        <v>75141.609264653423</v>
      </c>
      <c r="Q13" s="13">
        <f>Q11*Drivers!$B$14</f>
        <v>79528.232358287583</v>
      </c>
      <c r="R13" s="13">
        <f>R11*Drivers!$B$14</f>
        <v>84183.491195561059</v>
      </c>
      <c r="S13" s="13">
        <f>S11*Drivers!$B$14</f>
        <v>89123.698381655951</v>
      </c>
      <c r="T13" s="13">
        <f>T11*Drivers!$B$14</f>
        <v>94366.158544898528</v>
      </c>
      <c r="U13" s="13">
        <f>U11*Drivers!$B$14</f>
        <v>99929.228649468874</v>
      </c>
      <c r="V13" s="13">
        <f>V11*Drivers!$B$14</f>
        <v>105832.38197514765</v>
      </c>
      <c r="W13" s="13">
        <f>W11*Drivers!$B$14</f>
        <v>112096.27598705553</v>
      </c>
      <c r="X13" s="13">
        <f>X11*Drivers!$B$14</f>
        <v>118742.82433189653</v>
      </c>
      <c r="Y13" s="13">
        <f>Y11*Drivers!$B$14</f>
        <v>125795.27321159668</v>
      </c>
      <c r="Z13" s="13">
        <f>Z11*Drivers!$B$14</f>
        <v>133278.28240048321</v>
      </c>
      <c r="AA13" s="13">
        <f>AA11*Drivers!$B$14</f>
        <v>141218.01118833123</v>
      </c>
      <c r="AB13" s="13">
        <f>AB11*Drivers!$B$14</f>
        <v>149642.20954877071</v>
      </c>
      <c r="AC13" s="13">
        <f>AC11*Drivers!$B$14</f>
        <v>158580.31485075495</v>
      </c>
      <c r="AD13" s="13">
        <f>AD11*Drivers!$B$14</f>
        <v>168063.55445010873</v>
      </c>
      <c r="AE13" s="13">
        <f>AE11*Drivers!$B$14</f>
        <v>178125.05451866513</v>
      </c>
      <c r="AF13" s="13">
        <f>AF11*Drivers!$B$14</f>
        <v>188799.95549023504</v>
      </c>
      <c r="AG13" s="13">
        <f>AG11*Drivers!$B$14</f>
        <v>200125.53452571391</v>
      </c>
      <c r="AH13" s="13">
        <f>AH11*Drivers!$B$14</f>
        <v>212141.3354240882</v>
      </c>
      <c r="AI13" s="13">
        <f>AI11*Drivers!$B$14</f>
        <v>224889.30643205205</v>
      </c>
      <c r="AJ13" s="13">
        <f>AJ11*Drivers!$B$14</f>
        <v>238413.94643246973</v>
      </c>
      <c r="AK13" s="13">
        <f>AK11*Drivers!$B$14</f>
        <v>252762.46002111776</v>
      </c>
    </row>
    <row r="14" spans="1:37">
      <c r="A14" s="20" t="s">
        <v>88</v>
      </c>
      <c r="B14" s="20">
        <f>B7+B13</f>
        <v>64429.445520000001</v>
      </c>
      <c r="C14" s="13">
        <f>C7+C13</f>
        <v>67723.648117488003</v>
      </c>
      <c r="D14" s="13">
        <f t="shared" ref="D14:AK14" si="2">D7+D13</f>
        <v>71201.04864641864</v>
      </c>
      <c r="E14" s="13">
        <f t="shared" si="2"/>
        <v>74871.854627459543</v>
      </c>
      <c r="F14" s="13">
        <f t="shared" si="2"/>
        <v>78746.851873386768</v>
      </c>
      <c r="G14" s="13">
        <f t="shared" si="2"/>
        <v>82837.437648308041</v>
      </c>
      <c r="H14" s="13">
        <f t="shared" si="2"/>
        <v>87155.655749209342</v>
      </c>
      <c r="I14" s="13">
        <f t="shared" si="2"/>
        <v>91714.233622300788</v>
      </c>
      <c r="J14" s="13">
        <f t="shared" si="2"/>
        <v>96526.621633268136</v>
      </c>
      <c r="K14" s="13">
        <f t="shared" si="2"/>
        <v>101607.03461756362</v>
      </c>
      <c r="L14" s="13">
        <f t="shared" si="2"/>
        <v>106970.49584431013</v>
      </c>
      <c r="M14" s="13">
        <f t="shared" si="2"/>
        <v>112632.88353527916</v>
      </c>
      <c r="N14" s="13">
        <f t="shared" si="2"/>
        <v>118610.98008875374</v>
      </c>
      <c r="O14" s="13">
        <f t="shared" si="2"/>
        <v>124922.52416693742</v>
      </c>
      <c r="P14" s="13">
        <f t="shared" si="2"/>
        <v>131586.26581494464</v>
      </c>
      <c r="Q14" s="13">
        <f t="shared" si="2"/>
        <v>138622.02478933914</v>
      </c>
      <c r="R14" s="13">
        <f t="shared" si="2"/>
        <v>146050.75228470995</v>
      </c>
      <c r="S14" s="13">
        <f t="shared" si="2"/>
        <v>153894.59625792224</v>
      </c>
      <c r="T14" s="13">
        <f t="shared" si="2"/>
        <v>162176.97056149092</v>
      </c>
      <c r="U14" s="13">
        <f t="shared" si="2"/>
        <v>170922.62811003998</v>
      </c>
      <c r="V14" s="13">
        <f t="shared" si="2"/>
        <v>180157.73831706823</v>
      </c>
      <c r="W14" s="13">
        <f t="shared" si="2"/>
        <v>189909.96905329023</v>
      </c>
      <c r="X14" s="13">
        <f t="shared" si="2"/>
        <v>200208.57339270652</v>
      </c>
      <c r="Y14" s="13">
        <f t="shared" si="2"/>
        <v>211084.48142832733</v>
      </c>
      <c r="Z14" s="13">
        <f t="shared" si="2"/>
        <v>222570.39745618575</v>
      </c>
      <c r="AA14" s="13">
        <f t="shared" si="2"/>
        <v>234700.9028439814</v>
      </c>
      <c r="AB14" s="13">
        <f t="shared" si="2"/>
        <v>247512.5649194594</v>
      </c>
      <c r="AC14" s="13">
        <f t="shared" si="2"/>
        <v>261044.05223350794</v>
      </c>
      <c r="AD14" s="13">
        <f t="shared" si="2"/>
        <v>275336.25657402561</v>
      </c>
      <c r="AE14" s="13">
        <f t="shared" si="2"/>
        <v>290432.42212893115</v>
      </c>
      <c r="AF14" s="13">
        <f t="shared" si="2"/>
        <v>306378.2822203429</v>
      </c>
      <c r="AG14" s="13">
        <f t="shared" si="2"/>
        <v>323222.20405702147</v>
      </c>
      <c r="AH14" s="13">
        <f t="shared" si="2"/>
        <v>341015.3419787318</v>
      </c>
      <c r="AI14" s="13">
        <f t="shared" si="2"/>
        <v>359811.79969432688</v>
      </c>
      <c r="AJ14" s="13">
        <f t="shared" si="2"/>
        <v>379668.80204518733</v>
      </c>
      <c r="AK14" s="13">
        <f t="shared" si="2"/>
        <v>400646.8768572589</v>
      </c>
    </row>
    <row r="15" spans="1:37">
      <c r="A15" s="13" t="s">
        <v>89</v>
      </c>
      <c r="B15" s="13">
        <f>B11-B14</f>
        <v>-6547.0363199999993</v>
      </c>
      <c r="C15" s="13">
        <f>C11-C14</f>
        <v>-6674.1012550079977</v>
      </c>
      <c r="D15" s="13">
        <f t="shared" ref="D15:AK15" si="3">D11-D14</f>
        <v>-6788.0697557209132</v>
      </c>
      <c r="E15" s="13">
        <f t="shared" si="3"/>
        <v>-6887.2542087656475</v>
      </c>
      <c r="F15" s="13">
        <f t="shared" si="3"/>
        <v>-6969.8216493558284</v>
      </c>
      <c r="G15" s="13">
        <f t="shared" si="3"/>
        <v>-7033.7829274342803</v>
      </c>
      <c r="H15" s="13">
        <f t="shared" si="3"/>
        <v>-7076.9811213124776</v>
      </c>
      <c r="I15" s="13">
        <f t="shared" si="3"/>
        <v>-7097.0791486537346</v>
      </c>
      <c r="J15" s="13">
        <f t="shared" si="3"/>
        <v>-7091.5465213900752</v>
      </c>
      <c r="K15" s="13">
        <f t="shared" si="3"/>
        <v>-7057.6451877001527</v>
      </c>
      <c r="L15" s="13">
        <f t="shared" si="3"/>
        <v>-6992.4144004902919</v>
      </c>
      <c r="M15" s="13">
        <f t="shared" si="3"/>
        <v>-6892.6545479025808</v>
      </c>
      <c r="N15" s="13">
        <f t="shared" si="3"/>
        <v>-6754.9098772049474</v>
      </c>
      <c r="O15" s="13">
        <f t="shared" si="3"/>
        <v>-6575.4500389851892</v>
      </c>
      <c r="P15" s="13">
        <f t="shared" si="3"/>
        <v>-6350.250373855597</v>
      </c>
      <c r="Q15" s="13">
        <f t="shared" si="3"/>
        <v>-6074.9708588598296</v>
      </c>
      <c r="R15" s="13">
        <f t="shared" si="3"/>
        <v>-5744.9336254415102</v>
      </c>
      <c r="S15" s="13">
        <f t="shared" si="3"/>
        <v>-5355.0989551623061</v>
      </c>
      <c r="T15" s="13">
        <f t="shared" si="3"/>
        <v>-4900.0396533267049</v>
      </c>
      <c r="U15" s="13">
        <f t="shared" si="3"/>
        <v>-4373.9136942585174</v>
      </c>
      <c r="V15" s="13">
        <f t="shared" si="3"/>
        <v>-3770.435025155457</v>
      </c>
      <c r="W15" s="13">
        <f t="shared" si="3"/>
        <v>-3082.84240819767</v>
      </c>
      <c r="X15" s="13">
        <f t="shared" si="3"/>
        <v>-2303.8661728789739</v>
      </c>
      <c r="Y15" s="13">
        <f t="shared" si="3"/>
        <v>-1425.6927423328452</v>
      </c>
      <c r="Z15" s="13">
        <f t="shared" si="3"/>
        <v>-439.92678871372482</v>
      </c>
      <c r="AA15" s="13">
        <f t="shared" si="3"/>
        <v>662.44913657067809</v>
      </c>
      <c r="AB15" s="13">
        <f t="shared" si="3"/>
        <v>1891.1176618251484</v>
      </c>
      <c r="AC15" s="13">
        <f t="shared" si="3"/>
        <v>3256.4725177503133</v>
      </c>
      <c r="AD15" s="13">
        <f t="shared" si="3"/>
        <v>4769.667509488936</v>
      </c>
      <c r="AE15" s="13">
        <f t="shared" si="3"/>
        <v>6442.6687355107279</v>
      </c>
      <c r="AF15" s="13">
        <f t="shared" si="3"/>
        <v>8288.3102633821545</v>
      </c>
      <c r="AG15" s="13">
        <f t="shared" si="3"/>
        <v>10320.353485835076</v>
      </c>
      <c r="AH15" s="13">
        <f t="shared" si="3"/>
        <v>12553.55039474857</v>
      </c>
      <c r="AI15" s="13">
        <f t="shared" si="3"/>
        <v>15003.711025759869</v>
      </c>
      <c r="AJ15" s="13">
        <f t="shared" si="3"/>
        <v>17687.775342262234</v>
      </c>
      <c r="AK15" s="13">
        <f t="shared" si="3"/>
        <v>20623.889844604069</v>
      </c>
    </row>
    <row r="16" spans="1:37">
      <c r="A16" s="13" t="s">
        <v>90</v>
      </c>
      <c r="B16" s="13">
        <f>B15/B11</f>
        <v>-0.1131092573803925</v>
      </c>
      <c r="C16" s="13">
        <f>C15/C11</f>
        <v>-0.10932269931572228</v>
      </c>
      <c r="D16" s="13">
        <f t="shared" ref="D16:AK16" si="4">D15/D11</f>
        <v>-0.10538357133334227</v>
      </c>
      <c r="E16" s="13">
        <f t="shared" si="4"/>
        <v>-0.10130609235546587</v>
      </c>
      <c r="F16" s="13">
        <f t="shared" si="4"/>
        <v>-9.7103789716592837E-2</v>
      </c>
      <c r="G16" s="13">
        <f t="shared" si="4"/>
        <v>-9.2789496144140587E-2</v>
      </c>
      <c r="H16" s="13">
        <f t="shared" si="4"/>
        <v>-8.8375352791454448E-2</v>
      </c>
      <c r="I16" s="13">
        <f t="shared" si="4"/>
        <v>-8.3872817430465957E-2</v>
      </c>
      <c r="J16" s="13">
        <f t="shared" si="4"/>
        <v>-7.9292676978455753E-2</v>
      </c>
      <c r="K16" s="13">
        <f t="shared" si="4"/>
        <v>-7.4645063603879735E-2</v>
      </c>
      <c r="L16" s="13">
        <f t="shared" si="4"/>
        <v>-6.9939473727744034E-2</v>
      </c>
      <c r="M16" s="13">
        <f t="shared" si="4"/>
        <v>-6.5184789307818083E-2</v>
      </c>
      <c r="N16" s="13">
        <f t="shared" si="4"/>
        <v>-6.0389300861631058E-2</v>
      </c>
      <c r="O16" s="13">
        <f t="shared" si="4"/>
        <v>-5.556073174970147E-2</v>
      </c>
      <c r="P16" s="13">
        <f t="shared" si="4"/>
        <v>-5.0706263302051094E-2</v>
      </c>
      <c r="Q16" s="13">
        <f t="shared" si="4"/>
        <v>-4.5832560428284895E-2</v>
      </c>
      <c r="R16" s="13">
        <f t="shared" si="4"/>
        <v>-4.0945797404119327E-2</v>
      </c>
      <c r="S16" s="13">
        <f t="shared" si="4"/>
        <v>-3.6051683575091822E-2</v>
      </c>
      <c r="T16" s="13">
        <f t="shared" si="4"/>
        <v>-3.1155488761335847E-2</v>
      </c>
      <c r="U16" s="13">
        <f t="shared" si="4"/>
        <v>-2.6262068185883659E-2</v>
      </c>
      <c r="V16" s="13">
        <f t="shared" si="4"/>
        <v>-2.1375886783163541E-2</v>
      </c>
      <c r="W16" s="13">
        <f t="shared" si="4"/>
        <v>-1.6501042774446844E-2</v>
      </c>
      <c r="X16" s="13">
        <f t="shared" si="4"/>
        <v>-1.1641290423273751E-2</v>
      </c>
      <c r="Y16" s="13">
        <f t="shared" si="4"/>
        <v>-6.8000619066253508E-3</v>
      </c>
      <c r="Z16" s="13">
        <f t="shared" si="4"/>
        <v>-1.9804882571571756E-3</v>
      </c>
      <c r="AA16" s="13">
        <f t="shared" si="4"/>
        <v>2.8145806515596184E-3</v>
      </c>
      <c r="AB16" s="13">
        <f t="shared" si="4"/>
        <v>7.5825570907871566E-3</v>
      </c>
      <c r="AC16" s="13">
        <f t="shared" si="4"/>
        <v>1.2321097435637271E-2</v>
      </c>
      <c r="AD16" s="13">
        <f t="shared" si="4"/>
        <v>1.7028085089934919E-2</v>
      </c>
      <c r="AE16" s="13">
        <f t="shared" si="4"/>
        <v>2.1701614361619034E-2</v>
      </c>
      <c r="AF16" s="13">
        <f t="shared" si="4"/>
        <v>2.6339975267030726E-2</v>
      </c>
      <c r="AG16" s="13">
        <f t="shared" si="4"/>
        <v>3.0941639237472788E-2</v>
      </c>
      <c r="AH16" s="13">
        <f t="shared" si="4"/>
        <v>3.5505245697599601E-2</v>
      </c>
      <c r="AI16" s="13">
        <f t="shared" si="4"/>
        <v>4.002958948239653E-2</v>
      </c>
      <c r="AJ16" s="13">
        <f t="shared" si="4"/>
        <v>4.4513609057527832E-2</v>
      </c>
      <c r="AK16" s="13">
        <f t="shared" si="4"/>
        <v>4.8956375506586665E-2</v>
      </c>
    </row>
  </sheetData>
  <mergeCells count="1">
    <mergeCell ref="A1:AK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A6BE6-2D94-48E7-8B6D-2D75867B8CE1}">
  <dimension ref="A1:D10"/>
  <sheetViews>
    <sheetView tabSelected="1" workbookViewId="0">
      <selection activeCell="C15" sqref="C15"/>
    </sheetView>
  </sheetViews>
  <sheetFormatPr defaultRowHeight="14.4"/>
  <cols>
    <col min="1" max="1" width="22.33203125" customWidth="1"/>
  </cols>
  <sheetData>
    <row r="1" spans="1:4" ht="15.6">
      <c r="A1" s="9" t="s">
        <v>92</v>
      </c>
      <c r="B1" s="9"/>
      <c r="C1" s="9"/>
      <c r="D1" s="9"/>
    </row>
    <row r="3" spans="1:4">
      <c r="A3" s="13" t="s">
        <v>93</v>
      </c>
      <c r="B3" s="13" t="s">
        <v>65</v>
      </c>
      <c r="C3" s="13" t="s">
        <v>66</v>
      </c>
      <c r="D3" s="13" t="s">
        <v>67</v>
      </c>
    </row>
    <row r="4" spans="1:4">
      <c r="A4" s="13" t="s">
        <v>94</v>
      </c>
      <c r="B4" s="13">
        <v>6568143.8673691135</v>
      </c>
      <c r="C4" s="13">
        <v>12110396.444077684</v>
      </c>
      <c r="D4" s="13">
        <v>2778451.6391350739</v>
      </c>
    </row>
    <row r="5" spans="1:4">
      <c r="A5" s="13" t="s">
        <v>95</v>
      </c>
      <c r="B5" s="13">
        <v>421270.76670186297</v>
      </c>
      <c r="C5" s="13">
        <v>1036886.0130052333</v>
      </c>
      <c r="D5" s="13">
        <v>109679.12653935212</v>
      </c>
    </row>
    <row r="6" spans="1:4">
      <c r="A6" s="13" t="s">
        <v>96</v>
      </c>
      <c r="B6" s="13">
        <v>-38760.751340369461</v>
      </c>
      <c r="C6" s="13">
        <v>2229335.8304693876</v>
      </c>
      <c r="D6" s="13">
        <v>-1152754.4411600782</v>
      </c>
    </row>
    <row r="7" spans="1:4">
      <c r="A7" s="13" t="s">
        <v>97</v>
      </c>
      <c r="B7" s="13">
        <v>20623.889844604069</v>
      </c>
      <c r="C7" s="13">
        <v>261967.93227421469</v>
      </c>
      <c r="D7" s="13">
        <v>-58842.565889556834</v>
      </c>
    </row>
    <row r="8" spans="1:4">
      <c r="A8" s="13" t="s">
        <v>98</v>
      </c>
      <c r="B8" s="13">
        <v>53193.690922215581</v>
      </c>
      <c r="C8" s="13">
        <v>93053.554151967401</v>
      </c>
      <c r="D8" s="13">
        <v>23260.370912977734</v>
      </c>
    </row>
    <row r="9" spans="1:4">
      <c r="A9" s="13" t="s">
        <v>99</v>
      </c>
      <c r="B9" s="13">
        <v>4.8956375506586665E-2</v>
      </c>
      <c r="C9" s="13">
        <v>0.25264872800718596</v>
      </c>
      <c r="D9" s="13">
        <v>-0.53649739696317267</v>
      </c>
    </row>
    <row r="10" spans="1:4">
      <c r="A10" s="13" t="s">
        <v>100</v>
      </c>
      <c r="B10" s="13">
        <v>26</v>
      </c>
      <c r="C10" s="13">
        <v>3</v>
      </c>
      <c r="D10" s="13" t="s">
        <v>101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Drivers</vt:lpstr>
      <vt:lpstr>Forecast</vt:lpstr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Aayushman Marwah (student)</dc:creator>
  <cp:lastModifiedBy>Aayushman Marwah (student)</cp:lastModifiedBy>
  <dcterms:created xsi:type="dcterms:W3CDTF">2026-06-12T17:46:00Z</dcterms:created>
  <dcterms:modified xsi:type="dcterms:W3CDTF">2026-06-13T11:26:35Z</dcterms:modified>
</cp:coreProperties>
</file>